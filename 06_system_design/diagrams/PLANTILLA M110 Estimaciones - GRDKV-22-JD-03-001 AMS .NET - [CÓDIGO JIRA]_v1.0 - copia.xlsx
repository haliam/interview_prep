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fi1.sharepoint.com/sites/BLASCATSeguros-Proyectos/Documents partages/DKV/GRDKV-22-JD-03-001 AMS .NET/08 - Estimaciones/Evolutivos/"/>
    </mc:Choice>
  </mc:AlternateContent>
  <xr:revisionPtr revIDLastSave="0" documentId="8_{01EA6265-E8B9-4021-BF52-0D1D9EFEE8A2}" xr6:coauthVersionLast="47" xr6:coauthVersionMax="47" xr10:uidLastSave="{00000000-0000-0000-0000-000000000000}"/>
  <bookViews>
    <workbookView xWindow="-120" yWindow="-120" windowWidth="38640" windowHeight="21240" tabRatio="463" firstSheet="4" activeTab="4" xr2:uid="{00000000-000D-0000-FFFF-FFFF00000000}"/>
  </bookViews>
  <sheets>
    <sheet name="Control de Cambios" sheetId="13" r:id="rId1"/>
    <sheet name="Elementos Base" sheetId="9" r:id="rId2"/>
    <sheet name="Tamaño" sheetId="1" r:id="rId3"/>
    <sheet name="Ajustes" sheetId="10" r:id="rId4"/>
    <sheet name="Etapas" sheetId="2" r:id="rId5"/>
    <sheet name="Recursos" sheetId="8" r:id="rId6"/>
    <sheet name="Estimación" sheetId="11" r:id="rId7"/>
    <sheet name="Ayuda" sheetId="12" r:id="rId8"/>
  </sheets>
  <externalReferences>
    <externalReference r:id="rId9"/>
    <externalReference r:id="rId10"/>
  </externalReferences>
  <definedNames>
    <definedName name="Categorizacion">[1]Configuracion!$C$2:$C$6</definedName>
    <definedName name="CentroServicios">[1]Configuracion!$H$2:$H$4</definedName>
    <definedName name="Ciclos_Vida">[1]Configuracion!$D$2:$D$6</definedName>
    <definedName name="Eleccion">[1]Configuracion!$F$2:$F$6</definedName>
    <definedName name="Eleccion2">[1]Configuracion!$G$2:$G$7</definedName>
    <definedName name="Herramienta">[1]Configuracion!$N$2:$N$5</definedName>
    <definedName name="Herramienta_P">[1]Configuracion!$L$2:$L$8</definedName>
    <definedName name="Herramienta_PE">[1]Configuracion!$M$2:$M$7</definedName>
    <definedName name="IS">[1]Configuracion!$O$2:$O$5</definedName>
    <definedName name="Prestacion">[1]Configuracion!$B$2:$B$5</definedName>
    <definedName name="Requisitos">[1]Configuracion!$K$2:$K$3</definedName>
    <definedName name="Tipo_de_servicio">[1]Configuracion!$J$2:$J$5</definedName>
    <definedName name="Tipologías">[2]Configuracion!$B$2:$B$6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7" i="2"/>
  <c r="D28" i="2"/>
  <c r="D29" i="2"/>
  <c r="D30" i="2"/>
  <c r="D31" i="2"/>
  <c r="D32" i="2"/>
  <c r="D33" i="2"/>
  <c r="D34" i="2"/>
  <c r="D25" i="2"/>
  <c r="AI61" i="1" l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AJ59" i="1"/>
  <c r="AJ58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AJ55" i="1"/>
  <c r="AJ54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AJ51" i="1"/>
  <c r="AJ50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AJ47" i="1"/>
  <c r="AJ46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F45" i="1"/>
  <c r="F44" i="1"/>
  <c r="F41" i="1"/>
  <c r="F40" i="1"/>
  <c r="F37" i="1"/>
  <c r="F36" i="1"/>
  <c r="F33" i="1"/>
  <c r="F32" i="1"/>
  <c r="F29" i="1"/>
  <c r="F28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F25" i="1"/>
  <c r="F24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F21" i="1"/>
  <c r="F20" i="1"/>
  <c r="AJ31" i="1"/>
  <c r="AJ30" i="1"/>
  <c r="AJ43" i="1"/>
  <c r="AJ42" i="1"/>
  <c r="AJ39" i="1"/>
  <c r="AJ38" i="1"/>
  <c r="J9" i="1"/>
  <c r="K9" i="1"/>
  <c r="AK61" i="1" l="1"/>
  <c r="AL61" i="1" s="1"/>
  <c r="AK60" i="1"/>
  <c r="AL60" i="1" s="1"/>
  <c r="AK56" i="1"/>
  <c r="AL56" i="1" s="1"/>
  <c r="AK57" i="1"/>
  <c r="AL57" i="1" s="1"/>
  <c r="AK53" i="1"/>
  <c r="AL53" i="1" s="1"/>
  <c r="AK52" i="1"/>
  <c r="AL52" i="1" s="1"/>
  <c r="AK48" i="1"/>
  <c r="AL48" i="1" s="1"/>
  <c r="AK49" i="1"/>
  <c r="AL49" i="1" s="1"/>
  <c r="D13" i="2"/>
  <c r="AC12" i="1"/>
  <c r="W12" i="1" l="1"/>
  <c r="K12" i="1"/>
  <c r="AI12" i="1"/>
  <c r="F11" i="1"/>
  <c r="Q12" i="1"/>
  <c r="I17" i="8"/>
  <c r="J17" i="8"/>
  <c r="K17" i="8"/>
  <c r="L17" i="8"/>
  <c r="D17" i="8"/>
  <c r="E17" i="8"/>
  <c r="F17" i="8"/>
  <c r="G17" i="8"/>
  <c r="H17" i="8"/>
  <c r="C17" i="8"/>
  <c r="D11" i="2"/>
  <c r="D12" i="2"/>
  <c r="D14" i="2"/>
  <c r="D15" i="2"/>
  <c r="D16" i="2"/>
  <c r="D17" i="2"/>
  <c r="D18" i="2"/>
  <c r="D19" i="2"/>
  <c r="D10" i="2"/>
  <c r="AI10" i="1" l="1"/>
  <c r="AH10" i="1"/>
  <c r="AG10" i="1"/>
  <c r="AF10" i="1"/>
  <c r="AE10" i="1"/>
  <c r="AD10" i="1"/>
  <c r="AI9" i="1"/>
  <c r="AH9" i="1"/>
  <c r="AG9" i="1"/>
  <c r="AF9" i="1"/>
  <c r="AE9" i="1"/>
  <c r="AD9" i="1"/>
  <c r="AC10" i="1"/>
  <c r="AB10" i="1"/>
  <c r="AA10" i="1"/>
  <c r="Z10" i="1"/>
  <c r="Y10" i="1"/>
  <c r="X10" i="1"/>
  <c r="AC9" i="1"/>
  <c r="AB9" i="1"/>
  <c r="AA9" i="1"/>
  <c r="Z9" i="1"/>
  <c r="Y9" i="1"/>
  <c r="X9" i="1"/>
  <c r="W10" i="1"/>
  <c r="V10" i="1"/>
  <c r="U10" i="1"/>
  <c r="T10" i="1"/>
  <c r="S10" i="1"/>
  <c r="R10" i="1"/>
  <c r="W9" i="1"/>
  <c r="V9" i="1"/>
  <c r="U9" i="1"/>
  <c r="T9" i="1"/>
  <c r="S9" i="1"/>
  <c r="R9" i="1"/>
  <c r="Q10" i="1"/>
  <c r="P10" i="1"/>
  <c r="O10" i="1"/>
  <c r="N10" i="1"/>
  <c r="M10" i="1"/>
  <c r="L10" i="1"/>
  <c r="Q9" i="1"/>
  <c r="P9" i="1"/>
  <c r="O9" i="1"/>
  <c r="N9" i="1"/>
  <c r="M9" i="1"/>
  <c r="L9" i="1"/>
  <c r="K10" i="1"/>
  <c r="J10" i="1"/>
  <c r="I10" i="1"/>
  <c r="H10" i="1"/>
  <c r="G10" i="1"/>
  <c r="F10" i="1"/>
  <c r="I9" i="1"/>
  <c r="H9" i="1"/>
  <c r="G9" i="1"/>
  <c r="F9" i="1"/>
  <c r="AJ10" i="1" l="1"/>
  <c r="G20" i="10"/>
  <c r="H20" i="10" s="1"/>
  <c r="G18" i="10"/>
  <c r="H18" i="10" s="1"/>
  <c r="G15" i="10"/>
  <c r="H15" i="10" s="1"/>
  <c r="S15" i="9"/>
  <c r="AE15" i="9" s="1"/>
  <c r="R15" i="9"/>
  <c r="AD15" i="9" s="1"/>
  <c r="Q15" i="9"/>
  <c r="AC15" i="9" s="1"/>
  <c r="P15" i="9"/>
  <c r="AB15" i="9" s="1"/>
  <c r="O15" i="9"/>
  <c r="AA15" i="9" s="1"/>
  <c r="G15" i="9"/>
  <c r="M15" i="9" s="1"/>
  <c r="Y15" i="9" s="1"/>
  <c r="F15" i="9"/>
  <c r="L15" i="9" s="1"/>
  <c r="X15" i="9" s="1"/>
  <c r="E15" i="9"/>
  <c r="K15" i="9" s="1"/>
  <c r="W15" i="9" s="1"/>
  <c r="D15" i="9"/>
  <c r="J15" i="9" s="1"/>
  <c r="V15" i="9" s="1"/>
  <c r="C15" i="9"/>
  <c r="I15" i="9" s="1"/>
  <c r="U15" i="9" s="1"/>
  <c r="AE14" i="9"/>
  <c r="AD14" i="9"/>
  <c r="AC14" i="9"/>
  <c r="AB14" i="9"/>
  <c r="AA14" i="9"/>
  <c r="M14" i="9"/>
  <c r="Y14" i="9" s="1"/>
  <c r="L14" i="9"/>
  <c r="X14" i="9" s="1"/>
  <c r="K14" i="9"/>
  <c r="W14" i="9" s="1"/>
  <c r="J14" i="9"/>
  <c r="V14" i="9" s="1"/>
  <c r="I14" i="9"/>
  <c r="U14" i="9" s="1"/>
  <c r="E19" i="10"/>
  <c r="E12" i="10"/>
  <c r="E13" i="10" s="1"/>
  <c r="E10" i="10"/>
  <c r="E8" i="10"/>
  <c r="G7" i="10" s="1"/>
  <c r="G12" i="10" l="1"/>
  <c r="H12" i="10" s="1"/>
  <c r="H7" i="10"/>
  <c r="AJ35" i="1"/>
  <c r="AJ34" i="1"/>
  <c r="AJ27" i="1"/>
  <c r="AJ26" i="1"/>
  <c r="AJ23" i="1"/>
  <c r="AJ22" i="1"/>
  <c r="AE12" i="9"/>
  <c r="AD12" i="9"/>
  <c r="AC12" i="9"/>
  <c r="AB12" i="9"/>
  <c r="AA12" i="9"/>
  <c r="S13" i="9"/>
  <c r="R13" i="9"/>
  <c r="Q13" i="9"/>
  <c r="P13" i="9"/>
  <c r="O13" i="9"/>
  <c r="M12" i="9"/>
  <c r="L12" i="9"/>
  <c r="K12" i="9"/>
  <c r="J12" i="9"/>
  <c r="I12" i="9"/>
  <c r="G13" i="9"/>
  <c r="F13" i="9"/>
  <c r="E13" i="9"/>
  <c r="D13" i="9"/>
  <c r="C13" i="9"/>
  <c r="G25" i="10" l="1"/>
  <c r="U12" i="9"/>
  <c r="Y12" i="9"/>
  <c r="V12" i="9"/>
  <c r="W12" i="9"/>
  <c r="X12" i="9"/>
  <c r="H25" i="10"/>
  <c r="H11" i="1"/>
  <c r="U11" i="1"/>
  <c r="Q11" i="1"/>
  <c r="I11" i="1"/>
  <c r="AI11" i="1"/>
  <c r="AA13" i="9"/>
  <c r="AE13" i="9"/>
  <c r="L13" i="9"/>
  <c r="AB13" i="9"/>
  <c r="AC13" i="9"/>
  <c r="K13" i="9"/>
  <c r="I13" i="9"/>
  <c r="M13" i="9"/>
  <c r="J13" i="9"/>
  <c r="AD13" i="9"/>
  <c r="J11" i="1"/>
  <c r="AC11" i="1"/>
  <c r="T11" i="1"/>
  <c r="V11" i="1"/>
  <c r="R11" i="1"/>
  <c r="G11" i="1"/>
  <c r="K11" i="1"/>
  <c r="W11" i="1"/>
  <c r="S11" i="1"/>
  <c r="AM61" i="1" l="1"/>
  <c r="AM49" i="1"/>
  <c r="AM48" i="1"/>
  <c r="AM52" i="1"/>
  <c r="AM53" i="1"/>
  <c r="AM57" i="1"/>
  <c r="AM56" i="1"/>
  <c r="AM60" i="1"/>
  <c r="I12" i="1"/>
  <c r="AA11" i="1"/>
  <c r="F12" i="1"/>
  <c r="G12" i="1"/>
  <c r="S12" i="1"/>
  <c r="H12" i="1"/>
  <c r="J12" i="1"/>
  <c r="R12" i="1"/>
  <c r="U12" i="1"/>
  <c r="T12" i="1"/>
  <c r="AK44" i="1"/>
  <c r="AL44" i="1" s="1"/>
  <c r="AM44" i="1" s="1"/>
  <c r="V12" i="1"/>
  <c r="AK36" i="1"/>
  <c r="AK32" i="1"/>
  <c r="AL32" i="1" s="1"/>
  <c r="AM32" i="1" s="1"/>
  <c r="AF11" i="1"/>
  <c r="O11" i="1"/>
  <c r="AE11" i="1"/>
  <c r="AG11" i="1"/>
  <c r="Y13" i="9"/>
  <c r="W13" i="9"/>
  <c r="V13" i="9"/>
  <c r="U13" i="9"/>
  <c r="X13" i="9"/>
  <c r="P11" i="1"/>
  <c r="M11" i="1"/>
  <c r="AD11" i="1"/>
  <c r="AH11" i="1"/>
  <c r="N11" i="1"/>
  <c r="L11" i="1"/>
  <c r="AK28" i="1"/>
  <c r="AK40" i="1" l="1"/>
  <c r="AL40" i="1" s="1"/>
  <c r="AM40" i="1" s="1"/>
  <c r="X11" i="1"/>
  <c r="Y11" i="1"/>
  <c r="Z11" i="1"/>
  <c r="AB11" i="1"/>
  <c r="N12" i="1"/>
  <c r="O12" i="1"/>
  <c r="L12" i="1"/>
  <c r="AE12" i="1"/>
  <c r="P12" i="1"/>
  <c r="AK24" i="1"/>
  <c r="AL24" i="1" s="1"/>
  <c r="AM24" i="1" s="1"/>
  <c r="AF12" i="1"/>
  <c r="AK20" i="1"/>
  <c r="AL20" i="1" s="1"/>
  <c r="AM20" i="1" s="1"/>
  <c r="AD12" i="1"/>
  <c r="AH12" i="1"/>
  <c r="AG12" i="1"/>
  <c r="M12" i="1"/>
  <c r="AL28" i="1"/>
  <c r="AM28" i="1" s="1"/>
  <c r="AL36" i="1"/>
  <c r="AM36" i="1" s="1"/>
  <c r="AJ9" i="1"/>
  <c r="AJ13" i="1" s="1"/>
  <c r="AK41" i="1" l="1"/>
  <c r="AL41" i="1" s="1"/>
  <c r="AM41" i="1" s="1"/>
  <c r="AK11" i="1"/>
  <c r="AK33" i="1"/>
  <c r="AL33" i="1" s="1"/>
  <c r="AM33" i="1" s="1"/>
  <c r="Z12" i="1"/>
  <c r="X12" i="1"/>
  <c r="AB12" i="1"/>
  <c r="AK45" i="1"/>
  <c r="AL45" i="1" s="1"/>
  <c r="AM45" i="1" s="1"/>
  <c r="Y12" i="1"/>
  <c r="AA12" i="1"/>
  <c r="AL11" i="1"/>
  <c r="AM11" i="1" s="1"/>
  <c r="AK21" i="1"/>
  <c r="AL21" i="1" s="1"/>
  <c r="AK29" i="1"/>
  <c r="AL29" i="1" s="1"/>
  <c r="AM29" i="1" s="1"/>
  <c r="AK37" i="1"/>
  <c r="AL37" i="1" s="1"/>
  <c r="AM37" i="1" s="1"/>
  <c r="AK25" i="1"/>
  <c r="AL25" i="1" s="1"/>
  <c r="AM25" i="1" s="1"/>
  <c r="AK12" i="1" l="1"/>
  <c r="AK13" i="1" s="1"/>
  <c r="AL12" i="1"/>
  <c r="AM21" i="1"/>
  <c r="D20" i="2"/>
  <c r="AJ19" i="1"/>
  <c r="AM12" i="1" l="1"/>
  <c r="AM13" i="1" s="1"/>
  <c r="E13" i="2" s="1"/>
  <c r="AL13" i="1"/>
  <c r="AJ18" i="1"/>
  <c r="E18" i="2" l="1"/>
  <c r="E12" i="2"/>
  <c r="E19" i="2"/>
  <c r="E28" i="2"/>
  <c r="E14" i="2"/>
  <c r="E17" i="2"/>
  <c r="E10" i="2"/>
  <c r="E15" i="2"/>
  <c r="E16" i="2"/>
  <c r="E11" i="2"/>
  <c r="C20" i="2"/>
  <c r="E20" i="2" l="1"/>
  <c r="F21" i="8"/>
  <c r="F25" i="8" s="1"/>
  <c r="E30" i="2"/>
  <c r="H21" i="8" s="1"/>
  <c r="H30" i="8" s="1"/>
  <c r="E27" i="2"/>
  <c r="E21" i="8" s="1"/>
  <c r="E30" i="8" s="1"/>
  <c r="E29" i="2"/>
  <c r="E25" i="2"/>
  <c r="E33" i="2"/>
  <c r="K21" i="8" s="1"/>
  <c r="E32" i="2"/>
  <c r="J21" i="8" s="1"/>
  <c r="E31" i="2"/>
  <c r="I21" i="8" s="1"/>
  <c r="E34" i="2"/>
  <c r="L21" i="8" s="1"/>
  <c r="E26" i="2"/>
  <c r="D21" i="8" s="1"/>
  <c r="D30" i="8" s="1"/>
  <c r="C21" i="8" l="1"/>
  <c r="C30" i="8" s="1"/>
  <c r="C39" i="2"/>
  <c r="G21" i="8"/>
  <c r="G30" i="8" s="1"/>
  <c r="F23" i="8"/>
  <c r="F29" i="8"/>
  <c r="F22" i="8"/>
  <c r="F26" i="8"/>
  <c r="F28" i="8"/>
  <c r="F27" i="8"/>
  <c r="J30" i="8"/>
  <c r="J25" i="8"/>
  <c r="J29" i="8"/>
  <c r="J28" i="8"/>
  <c r="J22" i="8"/>
  <c r="J26" i="8"/>
  <c r="J23" i="8"/>
  <c r="J27" i="8"/>
  <c r="J24" i="8"/>
  <c r="I22" i="8"/>
  <c r="I26" i="8"/>
  <c r="I28" i="8"/>
  <c r="I30" i="8"/>
  <c r="I25" i="8"/>
  <c r="I23" i="8"/>
  <c r="I27" i="8"/>
  <c r="I29" i="8"/>
  <c r="I24" i="8"/>
  <c r="K25" i="8"/>
  <c r="K26" i="8"/>
  <c r="K30" i="8"/>
  <c r="K24" i="8"/>
  <c r="K28" i="8"/>
  <c r="K27" i="8"/>
  <c r="K29" i="8"/>
  <c r="K22" i="8"/>
  <c r="K23" i="8"/>
  <c r="L23" i="8"/>
  <c r="L27" i="8"/>
  <c r="L29" i="8"/>
  <c r="L22" i="8"/>
  <c r="L24" i="8"/>
  <c r="L28" i="8"/>
  <c r="L25" i="8"/>
  <c r="L30" i="8"/>
  <c r="L26" i="8"/>
  <c r="F30" i="8"/>
  <c r="F24" i="8"/>
  <c r="C25" i="8" l="1"/>
  <c r="C22" i="8"/>
  <c r="M21" i="8"/>
  <c r="F31" i="8"/>
  <c r="M30" i="8"/>
  <c r="L31" i="8"/>
  <c r="K31" i="8"/>
  <c r="I31" i="8"/>
  <c r="J31" i="8"/>
  <c r="C24" i="8"/>
  <c r="C29" i="8"/>
  <c r="C26" i="8"/>
  <c r="C28" i="8"/>
  <c r="C27" i="8"/>
  <c r="C23" i="8"/>
  <c r="C31" i="8" l="1"/>
  <c r="E23" i="8"/>
  <c r="G29" i="8"/>
  <c r="D25" i="8"/>
  <c r="H28" i="8" l="1"/>
  <c r="H25" i="8"/>
  <c r="H29" i="8"/>
  <c r="H26" i="8"/>
  <c r="H27" i="8"/>
  <c r="H22" i="8"/>
  <c r="H23" i="8"/>
  <c r="H24" i="8"/>
  <c r="D26" i="8"/>
  <c r="D28" i="8"/>
  <c r="E29" i="8"/>
  <c r="E22" i="8"/>
  <c r="G28" i="8"/>
  <c r="G24" i="8"/>
  <c r="D29" i="8"/>
  <c r="D24" i="8"/>
  <c r="G22" i="8"/>
  <c r="E27" i="8"/>
  <c r="E24" i="8"/>
  <c r="G23" i="8"/>
  <c r="G25" i="8"/>
  <c r="E35" i="2"/>
  <c r="D7" i="11" s="1"/>
  <c r="E28" i="8"/>
  <c r="G26" i="8"/>
  <c r="G27" i="8"/>
  <c r="D23" i="8"/>
  <c r="D27" i="8"/>
  <c r="E25" i="8"/>
  <c r="D22" i="8"/>
  <c r="E26" i="8"/>
  <c r="C40" i="2" l="1"/>
  <c r="M29" i="8"/>
  <c r="M25" i="8"/>
  <c r="M27" i="8"/>
  <c r="M23" i="8"/>
  <c r="H31" i="8"/>
  <c r="D31" i="8"/>
  <c r="M22" i="8"/>
  <c r="G31" i="8"/>
  <c r="M26" i="8"/>
  <c r="M28" i="8"/>
  <c r="M24" i="8"/>
  <c r="E31" i="8"/>
  <c r="M31" i="8" l="1"/>
  <c r="D35" i="2" l="1"/>
  <c r="C35" i="2"/>
</calcChain>
</file>

<file path=xl/sharedStrings.xml><?xml version="1.0" encoding="utf-8"?>
<sst xmlns="http://schemas.openxmlformats.org/spreadsheetml/2006/main" count="446" uniqueCount="211">
  <si>
    <t>Clasificación:  Documento interno</t>
  </si>
  <si>
    <t>HISTORIAL DE CAMBIOS</t>
  </si>
  <si>
    <t>Versión</t>
  </si>
  <si>
    <t>Descripción</t>
  </si>
  <si>
    <t>Fecha</t>
  </si>
  <si>
    <t>1.0</t>
  </si>
  <si>
    <t>Versión inicial</t>
  </si>
  <si>
    <t>&lt;dd/mm/aaaa&gt;</t>
  </si>
  <si>
    <t>Nombre</t>
  </si>
  <si>
    <t>Firma</t>
  </si>
  <si>
    <t>Elaborado por:</t>
  </si>
  <si>
    <t>&lt;Nombre del Jefe 
de Proyecto&gt;</t>
  </si>
  <si>
    <t>Revisado por:</t>
  </si>
  <si>
    <t>&lt;Nombre del
 Revisor&gt;</t>
  </si>
  <si>
    <t>Aprobado por:</t>
  </si>
  <si>
    <t>&lt;Nombre del miembro 
del Equipo de Calidad&gt;</t>
  </si>
  <si>
    <t>Elementos de Estimación</t>
  </si>
  <si>
    <t>Esta pestaña tiene las tablas de estimación (ábacos le llaman en Inetum Francia) que permiten calcular los esfuerzos a partir del tamaño.</t>
  </si>
  <si>
    <t>Ejemplo Componentes JEE</t>
  </si>
  <si>
    <t>Ventana</t>
  </si>
  <si>
    <t>Servicio de Datos</t>
  </si>
  <si>
    <t>Web Service</t>
  </si>
  <si>
    <t>Subproceso</t>
  </si>
  <si>
    <t>Proceso</t>
  </si>
  <si>
    <t>Muy baja</t>
  </si>
  <si>
    <t>Baja</t>
  </si>
  <si>
    <t>Media</t>
  </si>
  <si>
    <t>Alta</t>
  </si>
  <si>
    <t>Muy alta</t>
  </si>
  <si>
    <t>Especial</t>
  </si>
  <si>
    <t>MB</t>
  </si>
  <si>
    <t>B</t>
  </si>
  <si>
    <t>M</t>
  </si>
  <si>
    <t>A</t>
  </si>
  <si>
    <t>MA</t>
  </si>
  <si>
    <t>E</t>
  </si>
  <si>
    <t>Nuevo</t>
  </si>
  <si>
    <t>Modificación</t>
  </si>
  <si>
    <t>Nuevo (1)</t>
  </si>
  <si>
    <t>Modificación (2)</t>
  </si>
  <si>
    <t>(1) y (2)  Nota: Las dos líneas de abajo son valores de referencia que utilizamos en Inetum: No se utilizan más que como referencia comparativa, punto de partida.</t>
  </si>
  <si>
    <t>Los valores a utilizar y que se pueden modificar para esta estimación son las dos primeras líneas.</t>
  </si>
  <si>
    <t>Tamaño</t>
  </si>
  <si>
    <t>Elemento Tipo 1</t>
  </si>
  <si>
    <t>Elemento Tipo 2</t>
  </si>
  <si>
    <t>Elemento Tipo 3</t>
  </si>
  <si>
    <t>Elemento Tipo 4</t>
  </si>
  <si>
    <t>Elemento Tipo 5</t>
  </si>
  <si>
    <t>Total E</t>
  </si>
  <si>
    <t>Total J</t>
  </si>
  <si>
    <t>Ajuste Man</t>
  </si>
  <si>
    <t>Ajuste Aut</t>
  </si>
  <si>
    <t>Comentario útil para la estimación</t>
  </si>
  <si>
    <t>Nuevo/Modif</t>
  </si>
  <si>
    <t>Nº Nuevos</t>
  </si>
  <si>
    <t>Nº Modif</t>
  </si>
  <si>
    <t>J. Nuevos</t>
  </si>
  <si>
    <t>J. Modif</t>
  </si>
  <si>
    <t>Subsistema</t>
  </si>
  <si>
    <t>Módulo</t>
  </si>
  <si>
    <t>Funcionalidad</t>
  </si>
  <si>
    <r>
      <rPr>
        <b/>
        <sz val="11"/>
        <color theme="1"/>
        <rFont val="Verdana"/>
        <family val="2"/>
      </rPr>
      <t xml:space="preserve">Nota: </t>
    </r>
    <r>
      <rPr>
        <sz val="11"/>
        <color theme="1"/>
        <rFont val="Verdana"/>
        <family val="2"/>
      </rPr>
      <t>para añadir una nueva funcionalidad a la estimación, desproteger la pestaña,  seleccionar las filas a copiar (p.e 39-42) e intertarlas en la fila deseada y volver a proteger la pestaña</t>
    </r>
  </si>
  <si>
    <t>Factores de Ajuste</t>
  </si>
  <si>
    <t>Factor Ajuste  (1)</t>
  </si>
  <si>
    <t>Valoraciones</t>
  </si>
  <si>
    <t>Valores</t>
  </si>
  <si>
    <t>Valor estimado</t>
  </si>
  <si>
    <t>Valor ajuste referencia</t>
  </si>
  <si>
    <t>Valor ajuste manual</t>
  </si>
  <si>
    <t>Equipo participante en el Proyecto</t>
  </si>
  <si>
    <t>Conocimientos,experiencia y capacidades de los miembros previstos del equipo para este proyecto, a cada nivel (negocio-funcional, arquitectura-desarrollo, cliente-entorno, tecnologías-lenguajes-plataformas)</t>
  </si>
  <si>
    <t>Muy bajo</t>
  </si>
  <si>
    <t>Estándar</t>
  </si>
  <si>
    <t>Bajo</t>
  </si>
  <si>
    <t>Alto</t>
  </si>
  <si>
    <t>Muy alto</t>
  </si>
  <si>
    <t>Madurez del proceso de desarrollo software a utilizar</t>
  </si>
  <si>
    <t>Metodología de trabajo clara y predefinida, fases y entregables concretos, herramientas disponibles adecuadas y suficientes</t>
  </si>
  <si>
    <t>Características del Proyecto</t>
  </si>
  <si>
    <t>Plazos del proyecto (si se imponen o hay un requisito)</t>
  </si>
  <si>
    <t>Raiz cuadrada de meses*hombre = plazo</t>
  </si>
  <si>
    <t>Ajustados</t>
  </si>
  <si>
    <t>Plazo= 0,9 * Raiz cuadrada de meses*hombre</t>
  </si>
  <si>
    <t>Muy ajustados</t>
  </si>
  <si>
    <t>Plazo= 0,8 * Raiz cuadrada de meses*hombre</t>
  </si>
  <si>
    <t>Proyecto ejecutado en Factoría (nearshore, Alicante)</t>
  </si>
  <si>
    <t>No</t>
  </si>
  <si>
    <t>Si (backoffice)</t>
  </si>
  <si>
    <t>Otros ajustes (explicar)</t>
  </si>
  <si>
    <t>Ajuste relativo al margen teórico</t>
  </si>
  <si>
    <t>Medio</t>
  </si>
  <si>
    <t>Sin margen</t>
  </si>
  <si>
    <t>VALOR FINAL DE AJUSTE</t>
  </si>
  <si>
    <t>(1)    Notas:</t>
  </si>
  <si>
    <t>* Los factores de ajuste ponderan la estimación de esfuerzos en función de las diferencias entre las condiciones de un proyecto considerado estándar y las condiciones concretas de este proyecto</t>
  </si>
  <si>
    <t>* Usar ajustes generales permite mantener la medida de tamaño y las tablas de estimación estándar y lo más generales posibles, de manera que los factores de ajuste se valoren aparte por separado.</t>
  </si>
  <si>
    <t>* Se distinguen del riesgo A, B, C, D  que determina la provisión por riesgo porque ajustan el volumen de jornadas que se otorgan al JP para ejecutar el proyecto (ver la pestaña siguiente y la hoja de márgenes)</t>
  </si>
  <si>
    <t>* Los factores de ajuste se determinan en base a hechos o asunciones fiables, no a  riesgos que pueden o no producirse.</t>
  </si>
  <si>
    <t>* Es importante no introducir  factores de corrección dos veces en el proceso de estimación. Si se han introducido ya en la medida de tamaño o complejidad, no se deben meter de nuevo aquí.</t>
  </si>
  <si>
    <r>
      <t xml:space="preserve">* Los ajustes </t>
    </r>
    <r>
      <rPr>
        <i/>
        <u/>
        <sz val="11"/>
        <color theme="1"/>
        <rFont val="Verdana"/>
        <family val="2"/>
      </rPr>
      <t>intrínsecos al software</t>
    </r>
    <r>
      <rPr>
        <i/>
        <sz val="11"/>
        <color theme="1"/>
        <rFont val="Verdana"/>
        <family val="2"/>
      </rPr>
      <t xml:space="preserve"> a construir (producto) no se consideran aquí, están en tamaño y complejidad. Los </t>
    </r>
    <r>
      <rPr>
        <i/>
        <u/>
        <sz val="11"/>
        <color theme="1"/>
        <rFont val="Verdana"/>
        <family val="2"/>
      </rPr>
      <t>intrínsecos al proyecto</t>
    </r>
    <r>
      <rPr>
        <i/>
        <sz val="11"/>
        <color theme="1"/>
        <rFont val="Verdana"/>
        <family val="2"/>
      </rPr>
      <t xml:space="preserve"> o los </t>
    </r>
    <r>
      <rPr>
        <i/>
        <u/>
        <sz val="11"/>
        <color theme="1"/>
        <rFont val="Verdana"/>
        <family val="2"/>
      </rPr>
      <t>extrínsecos</t>
    </r>
    <r>
      <rPr>
        <i/>
        <sz val="11"/>
        <color theme="1"/>
        <rFont val="Verdana"/>
        <family val="2"/>
      </rPr>
      <t xml:space="preserve"> (ambientales) sí que están aquí.</t>
    </r>
  </si>
  <si>
    <t>Etapas</t>
  </si>
  <si>
    <t>Las etapas de división del proyecto deben estar alineadas con la descomposición del trabajo (WBS)</t>
  </si>
  <si>
    <t>Canónico</t>
  </si>
  <si>
    <t>% total</t>
  </si>
  <si>
    <t>% sobre Construcción</t>
  </si>
  <si>
    <t>Jornadas</t>
  </si>
  <si>
    <t>Planificación y Seguimiento</t>
  </si>
  <si>
    <t>Análisis de Requisitos</t>
  </si>
  <si>
    <t>Diseño funcional y técnico</t>
  </si>
  <si>
    <t>Construcción y pruebas unitarias</t>
  </si>
  <si>
    <t>Pruebas de sistema</t>
  </si>
  <si>
    <t>Aseguramiento de calidad</t>
  </si>
  <si>
    <t>Documentación</t>
  </si>
  <si>
    <t>UAT</t>
  </si>
  <si>
    <t>Cierre</t>
  </si>
  <si>
    <t>Garantía</t>
  </si>
  <si>
    <t>Totales</t>
  </si>
  <si>
    <t>Ajuste Manual</t>
  </si>
  <si>
    <t>Estimación DKV (en horas)</t>
  </si>
  <si>
    <t>Sin Diseño Funcional</t>
  </si>
  <si>
    <t>Con Diseño Funcional</t>
  </si>
  <si>
    <t>Recursos</t>
  </si>
  <si>
    <t>% Dedicación perfiles por etapa WBS</t>
  </si>
  <si>
    <t>Jefe de Proyecto</t>
  </si>
  <si>
    <t>Jefe de Equipo</t>
  </si>
  <si>
    <t>Analista Funcional</t>
  </si>
  <si>
    <t>Ingeniero Desarrollo</t>
  </si>
  <si>
    <t>Analista Programador</t>
  </si>
  <si>
    <t>Analista de Pruebas</t>
  </si>
  <si>
    <t>Ingeniero de Pruebas</t>
  </si>
  <si>
    <t>Programador</t>
  </si>
  <si>
    <t>Responsable de Calidad</t>
  </si>
  <si>
    <t>TOTAL</t>
  </si>
  <si>
    <t>Distribución jornadas por perfil</t>
  </si>
  <si>
    <t>Resumen de la Estimación</t>
  </si>
  <si>
    <t>Jornadas estimadas para el proyecto</t>
  </si>
  <si>
    <t>Jornadas internas estimadas para el proyecto</t>
  </si>
  <si>
    <t>Código Petición Jira</t>
  </si>
  <si>
    <t>Código de la issue de Jira</t>
  </si>
  <si>
    <t>Autores estimación</t>
  </si>
  <si>
    <t>Nombres de las personas que han hecho la estimación</t>
  </si>
  <si>
    <t>Revisión estimación</t>
  </si>
  <si>
    <t>Nombres de las personas que han revisado la estimación</t>
  </si>
  <si>
    <t>Fecha y fase de la estimación</t>
  </si>
  <si>
    <t>Fecha en que se hizo la estimación y si fue en fase de oferta, requisitos, análisis, diseño, construcción, pruebas.</t>
  </si>
  <si>
    <t>Requisitos/Información de partida</t>
  </si>
  <si>
    <t>Descripción de qué información se utilizó de partida (fecha o versión de los requisitos, RFP y otros documentos)</t>
  </si>
  <si>
    <t>Información extraída del Jira.</t>
  </si>
  <si>
    <t>Descripción del proyecto</t>
  </si>
  <si>
    <t>Comentarios de utilidad para la estimación: asunciones, supuestos, contexto, condicionantes, factores de presión, toda la info importante para el que reciba la estimación no habiendo participado en ella.</t>
  </si>
  <si>
    <t>Proyectos similares considerados</t>
  </si>
  <si>
    <t>Nombre/cliente de varios proyectos que se consideran más similares a este (en tipología, tecnología, complejidad, tamaño, etc). Cuyas estimaciones sirven para comparar.</t>
  </si>
  <si>
    <t>Bondad de la estimación</t>
  </si>
  <si>
    <t>Muy baja- La estimación es una primerísima aproximación de orden de magnitud
Baja-La estimación tiene muchos supuestos, parte de información inicial del proyecto
Media-La estimación parte de buena información cualitativa y cuantitativa
Alta-La estimación parte de mucha información y conocimiento</t>
  </si>
  <si>
    <t>Riesgos</t>
  </si>
  <si>
    <t>Descripción de los mayores riesgos que se identifican a la luz del trabajo realizado para estimar., por ejemplo:
* El alcance del módulo X, Y, Z está definido de manera muy vaga, y se ha supuesto A, B, C en esos aspectos
* Se ha pensado que se va a contar con soporte de R, S, T, en la ejecución
* Se considera que el cliente coordinará con Q, W, E el proyecto
...</t>
  </si>
  <si>
    <t>* Es una medida de la probabilidad de que el proyecto se tuerza y haya desviaciones en contra de Inetum. Se usa para realizar una provisión de jornadas a nivel Gerente (Dirección del Proyecto). Se gestiona siempre por encima del JP.</t>
  </si>
  <si>
    <t>* Se trata por tanto de hacer una estimación lo más ajustada posible (para vender, y para medir el delivery en base a estándares), pero calibrar aparte qué posibilidad hay de que nos hayamos quedado cortos.</t>
  </si>
  <si>
    <t>* Los criterios a evaluar para fijar el riesgo del proyecto son los 3 siguientes:</t>
  </si>
  <si>
    <t>Cliente</t>
  </si>
  <si>
    <t>Conocimiento y control que tenemos del cliente, en función de la relación existente Inetum-CLIENTE.</t>
  </si>
  <si>
    <t>Tecnología</t>
  </si>
  <si>
    <t xml:space="preserve">Grado de conocimiento que hay en todo Inetum de las tecnologías a utilizar. </t>
  </si>
  <si>
    <t xml:space="preserve">Medida de la posibilidad de que aparezcan problemas técnicos y tardemos más de la cuenta en resolverlos. </t>
  </si>
  <si>
    <t>No confundir con el conocimiento concreto del equipo participante, que es un ajuste, no un riesgo.</t>
  </si>
  <si>
    <t>Alcance</t>
  </si>
  <si>
    <t>Posibilidad de que el alcance esté mal, varíe, nos sorprenda, etc. Cuantos más supuestos hemos tenido que hacer sobre el alcance (y asunciones), mayor riesgo.</t>
  </si>
  <si>
    <t>Versión plantilla</t>
  </si>
  <si>
    <t>Autores</t>
  </si>
  <si>
    <t>0.7</t>
  </si>
  <si>
    <t>Javier Rivas, Mariano Vélez, Ubaldo Serna, Equipo CMMI</t>
  </si>
  <si>
    <t>Eduardo Riol</t>
  </si>
  <si>
    <t>2.0</t>
  </si>
  <si>
    <t>Carlos Honrubia</t>
  </si>
  <si>
    <t>3.0</t>
  </si>
  <si>
    <t>Joaquín Cervera</t>
  </si>
  <si>
    <t>4.0</t>
  </si>
  <si>
    <t>Adaptación Servicio AMS.NET (DKV)</t>
  </si>
  <si>
    <t>Descripción general del uso de la plantilla</t>
  </si>
  <si>
    <t>Rellenar sólo las celdas en verde</t>
  </si>
  <si>
    <t>Comenzar descomponiendo el software a realizar en la pestaña Tamaño</t>
  </si>
  <si>
    <t>Categorizar los desarrollos a hacer en tipologías de elementos base</t>
  </si>
  <si>
    <t>Identificar las métricas de tamaño por tipo de elemento, incluyendo el tamaño de los cambios o imprevistos que pueden llegar (etiquetarlos bien para diferenciarlos)</t>
  </si>
  <si>
    <t>Ajustar según factores independientes del tamaño del sw a desarrollar</t>
  </si>
  <si>
    <t>Identificar las etapas a realizar en el proyecto, sin olvidar cada tarea en base a los WBS estándar</t>
  </si>
  <si>
    <t>Repartir por perfiles que ejecutarán el proyecto</t>
  </si>
  <si>
    <t>Pedir varias opiniones, revisar, contrastar.</t>
  </si>
  <si>
    <t>Pestaña Elementos Base</t>
  </si>
  <si>
    <t>De momento tenemos pocas tablas de estimación, pero deben ir construyéndose. CorporateQS.quality.es@inetum.world centraliza estas tablas. Todo input es bienvenido.</t>
  </si>
  <si>
    <t>Se debe pensar siempre en tablas reutilizables entre proyectos. Aplicar ese criterio para identificar tipologías.</t>
  </si>
  <si>
    <t>Las estimaciones de esfuerzo reseñadas en las tablas son exclusivamente para la tarea de construcción y prueba unitaria.</t>
  </si>
  <si>
    <t>Pestaña Tamaño</t>
  </si>
  <si>
    <t>En esta pestaña incluimos la medida del tamaño del software que hay que construir.</t>
  </si>
  <si>
    <t>Para ello hacemos una descomposición en subsistemas, módulos, componentes por tipología y complejidad</t>
  </si>
  <si>
    <t>Este árbol de elementos agrupados y estructurados puede servir de base para pegar en Project y sacar el árbol de tareas de construcción (WBS detallada)</t>
  </si>
  <si>
    <t>Exclusivamente tenemos en cuenta factores intrínsecos (internos) al software a desarrollar a partir de los requisitos/condicionantes, con el máximo detalle posible</t>
  </si>
  <si>
    <t>No incluir nunca en esta pestaña información de esfuerzos, eso vendrá después. Sólo tenemos aquí la enumeración de cada elemento que hay que hacer.</t>
  </si>
  <si>
    <t>Podrá copiarse en un Project la lista de componentes a construir (son tareas) y también viceversa</t>
  </si>
  <si>
    <t>Pestaña Ajustes</t>
  </si>
  <si>
    <t>Esta pestaña identifica los ajustes a realizar sobre la estimación estándar en base a parámetros del proyecto concreto que se está estimando</t>
  </si>
  <si>
    <t>Lo más importante es no introducir dos veces el mismo factor-criterio-ajuste.</t>
  </si>
  <si>
    <t>Los ajustes se identifican por separado porque es importante comprender el proceso de estimación y las diferencias de este proceso concreto y la estimación canónica.</t>
  </si>
  <si>
    <t>Pestaña Etapas</t>
  </si>
  <si>
    <t>Evalúa las actividades que hay que hacer en el proyecto, aparte de la construcción (código).</t>
  </si>
  <si>
    <t>Utilizar las listas de tareas estándar (Work Breakdown Structure  - WBS) para no olvidar nada</t>
  </si>
  <si>
    <t>Pestaña Recursos</t>
  </si>
  <si>
    <t>Esta pestaña identifica los perfiles que participan en el proyecto, para poder identificar qué jornadas ejecutan cada uno de ellos</t>
  </si>
  <si>
    <t>Pestaña Estimación</t>
  </si>
  <si>
    <t>Es un resumen que contiene la información no estructurada (no numérica) de la estimación.</t>
  </si>
  <si>
    <t>Pensar siempre en un JP que puede "heredar" esta estimación sin haber participado en ella y puede necesitar comprenderla.</t>
  </si>
  <si>
    <t>Esta pestaña ayuda a recordar algunas técnicas de estimación como identificar bien las asunciones (hipótesis), evaluar al final los riesgos, comparar con otros proyectos similares,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</si>
</sst>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#,##0_ ;\-#,##0\ 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0" tint="-0.34998626667073579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1"/>
      <color rgb="FFFF0000"/>
      <name val="Verdana"/>
      <family val="2"/>
    </font>
    <font>
      <sz val="11"/>
      <name val="Verdana"/>
      <family val="2"/>
    </font>
    <font>
      <i/>
      <sz val="11"/>
      <color theme="1"/>
      <name val="Verdana"/>
      <family val="2"/>
    </font>
    <font>
      <b/>
      <sz val="14"/>
      <color theme="1"/>
      <name val="Verdana"/>
      <family val="2"/>
    </font>
    <font>
      <b/>
      <sz val="14"/>
      <color theme="0"/>
      <name val="Verdana"/>
      <family val="2"/>
    </font>
    <font>
      <b/>
      <u/>
      <sz val="11"/>
      <color theme="1"/>
      <name val="Verdana"/>
      <family val="2"/>
    </font>
    <font>
      <i/>
      <u/>
      <sz val="11"/>
      <color theme="1"/>
      <name val="Verdana"/>
      <family val="2"/>
    </font>
    <font>
      <b/>
      <i/>
      <sz val="11"/>
      <color theme="1"/>
      <name val="Verdana"/>
      <family val="2"/>
    </font>
    <font>
      <b/>
      <sz val="11"/>
      <color theme="0"/>
      <name val="Verdana"/>
      <family val="2"/>
    </font>
    <font>
      <b/>
      <sz val="11"/>
      <color rgb="FFFF0000"/>
      <name val="Verdana"/>
      <family val="2"/>
    </font>
    <font>
      <sz val="11"/>
      <color rgb="FF0070C0"/>
      <name val="Verdana"/>
      <family val="2"/>
    </font>
    <font>
      <sz val="11"/>
      <color rgb="FFF04641"/>
      <name val="Verdana"/>
      <family val="2"/>
    </font>
    <font>
      <b/>
      <sz val="10"/>
      <color theme="0"/>
      <name val="Verdana"/>
      <family val="2"/>
    </font>
    <font>
      <sz val="11"/>
      <color theme="0"/>
      <name val="Verdana"/>
      <family val="2"/>
    </font>
    <font>
      <b/>
      <sz val="11"/>
      <color rgb="FFF04641"/>
      <name val="Verdana"/>
      <family val="2"/>
    </font>
    <font>
      <sz val="10"/>
      <color theme="1"/>
      <name val="Calibri"/>
      <family val="2"/>
      <scheme val="minor"/>
    </font>
    <font>
      <b/>
      <sz val="12"/>
      <color theme="1"/>
      <name val="Verdana"/>
      <family val="2"/>
    </font>
    <font>
      <b/>
      <sz val="11"/>
      <name val="Verdana"/>
      <family val="2"/>
    </font>
    <font>
      <b/>
      <sz val="20"/>
      <color rgb="FF232D4B"/>
      <name val="Arial"/>
      <family val="2"/>
    </font>
    <font>
      <sz val="20"/>
      <color theme="1"/>
      <name val="Verdana"/>
      <family val="2"/>
    </font>
    <font>
      <sz val="10"/>
      <color theme="1"/>
      <name val="Verdana"/>
      <family val="2"/>
    </font>
    <font>
      <sz val="10"/>
      <color rgb="FF232D4B"/>
      <name val="Verdana"/>
      <family val="2"/>
    </font>
    <font>
      <b/>
      <sz val="8"/>
      <color rgb="FF232D4B"/>
      <name val="Verdana"/>
      <family val="2"/>
    </font>
    <font>
      <sz val="10"/>
      <name val="Verdana"/>
      <family val="2"/>
    </font>
    <font>
      <b/>
      <sz val="11"/>
      <color indexed="8"/>
      <name val="Verdana"/>
      <family val="2"/>
    </font>
    <font>
      <sz val="8"/>
      <color rgb="FF232D4B"/>
      <name val="Verdana"/>
      <family val="2"/>
    </font>
    <font>
      <i/>
      <sz val="10"/>
      <color theme="1"/>
      <name val="Verdana"/>
      <family val="2"/>
    </font>
    <font>
      <b/>
      <sz val="8"/>
      <color theme="0"/>
      <name val="Verdana"/>
      <family val="2"/>
    </font>
    <font>
      <b/>
      <sz val="9"/>
      <color theme="0"/>
      <name val="Verdana"/>
      <family val="2"/>
    </font>
    <font>
      <b/>
      <sz val="10"/>
      <color rgb="FF232D4B"/>
      <name val="Verdana"/>
      <family val="2"/>
    </font>
    <font>
      <b/>
      <u/>
      <sz val="9"/>
      <color rgb="FF232D4B"/>
      <name val="Verdana"/>
      <family val="2"/>
    </font>
    <font>
      <i/>
      <sz val="10"/>
      <color theme="0" tint="-0.34998626667073579"/>
      <name val="Verdana"/>
      <family val="2"/>
    </font>
    <font>
      <b/>
      <sz val="10"/>
      <color theme="1"/>
      <name val="Verdana"/>
      <family val="2"/>
    </font>
    <font>
      <b/>
      <u/>
      <sz val="10"/>
      <color theme="1"/>
      <name val="Verdana"/>
      <family val="2"/>
    </font>
    <font>
      <b/>
      <i/>
      <sz val="10"/>
      <color theme="1"/>
      <name val="Verdana"/>
      <family val="2"/>
    </font>
    <font>
      <i/>
      <sz val="11"/>
      <color rgb="FF232D4B"/>
      <name val="Verdana"/>
      <family val="2"/>
    </font>
    <font>
      <sz val="11"/>
      <color rgb="FF232D4B"/>
      <name val="Verdana"/>
      <family val="2"/>
    </font>
    <font>
      <b/>
      <sz val="11"/>
      <color rgb="FF005573"/>
      <name val="Verdana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232D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AF9B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19"/>
    <xf numFmtId="0" fontId="43" fillId="0" borderId="0" applyNumberFormat="0" applyFill="0" applyBorder="0" applyAlignment="0" applyProtection="0"/>
  </cellStyleXfs>
  <cellXfs count="18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5" xfId="0" applyFont="1" applyBorder="1" applyAlignment="1">
      <alignment vertical="top"/>
    </xf>
    <xf numFmtId="9" fontId="5" fillId="5" borderId="8" xfId="0" applyNumberFormat="1" applyFont="1" applyFill="1" applyBorder="1"/>
    <xf numFmtId="0" fontId="3" fillId="0" borderId="6" xfId="0" applyFont="1" applyBorder="1" applyAlignment="1">
      <alignment vertical="top"/>
    </xf>
    <xf numFmtId="9" fontId="3" fillId="0" borderId="6" xfId="2" applyFont="1" applyBorder="1"/>
    <xf numFmtId="9" fontId="3" fillId="0" borderId="0" xfId="2" applyFont="1" applyBorder="1"/>
    <xf numFmtId="9" fontId="6" fillId="0" borderId="6" xfId="2" applyFont="1" applyBorder="1"/>
    <xf numFmtId="9" fontId="5" fillId="0" borderId="0" xfId="2" applyFont="1" applyBorder="1"/>
    <xf numFmtId="0" fontId="3" fillId="0" borderId="7" xfId="0" applyFont="1" applyBorder="1" applyAlignment="1">
      <alignment vertical="top"/>
    </xf>
    <xf numFmtId="9" fontId="3" fillId="0" borderId="0" xfId="0" applyNumberFormat="1" applyFont="1"/>
    <xf numFmtId="0" fontId="5" fillId="0" borderId="0" xfId="0" applyFont="1"/>
    <xf numFmtId="9" fontId="5" fillId="0" borderId="0" xfId="0" applyNumberFormat="1" applyFont="1"/>
    <xf numFmtId="9" fontId="9" fillId="7" borderId="8" xfId="0" applyNumberFormat="1" applyFont="1" applyFill="1" applyBorder="1"/>
    <xf numFmtId="0" fontId="10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left" vertical="top"/>
    </xf>
    <xf numFmtId="2" fontId="13" fillId="9" borderId="1" xfId="0" applyNumberFormat="1" applyFont="1" applyFill="1" applyBorder="1" applyAlignment="1">
      <alignment horizontal="right"/>
    </xf>
    <xf numFmtId="0" fontId="1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right"/>
    </xf>
    <xf numFmtId="2" fontId="4" fillId="2" borderId="1" xfId="0" applyNumberFormat="1" applyFont="1" applyFill="1" applyBorder="1" applyAlignment="1">
      <alignment horizontal="right"/>
    </xf>
    <xf numFmtId="2" fontId="4" fillId="5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right"/>
    </xf>
    <xf numFmtId="0" fontId="15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3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2" fontId="3" fillId="8" borderId="12" xfId="0" applyNumberFormat="1" applyFont="1" applyFill="1" applyBorder="1" applyAlignment="1">
      <alignment horizontal="center" vertical="top"/>
    </xf>
    <xf numFmtId="2" fontId="3" fillId="8" borderId="0" xfId="0" applyNumberFormat="1" applyFont="1" applyFill="1" applyAlignment="1">
      <alignment horizontal="center" vertical="top"/>
    </xf>
    <xf numFmtId="2" fontId="3" fillId="8" borderId="11" xfId="0" applyNumberFormat="1" applyFont="1" applyFill="1" applyBorder="1" applyAlignment="1">
      <alignment horizontal="center" vertical="top"/>
    </xf>
    <xf numFmtId="2" fontId="3" fillId="8" borderId="13" xfId="0" applyNumberFormat="1" applyFont="1" applyFill="1" applyBorder="1" applyAlignment="1">
      <alignment horizontal="center" vertical="top"/>
    </xf>
    <xf numFmtId="2" fontId="3" fillId="8" borderId="14" xfId="0" applyNumberFormat="1" applyFont="1" applyFill="1" applyBorder="1" applyAlignment="1">
      <alignment horizontal="center" vertical="top"/>
    </xf>
    <xf numFmtId="2" fontId="3" fillId="8" borderId="15" xfId="0" applyNumberFormat="1" applyFont="1" applyFill="1" applyBorder="1" applyAlignment="1">
      <alignment horizontal="center" vertical="top"/>
    </xf>
    <xf numFmtId="0" fontId="17" fillId="7" borderId="0" xfId="0" applyFont="1" applyFill="1" applyAlignment="1">
      <alignment horizontal="left" vertical="top"/>
    </xf>
    <xf numFmtId="2" fontId="18" fillId="7" borderId="12" xfId="0" applyNumberFormat="1" applyFont="1" applyFill="1" applyBorder="1" applyAlignment="1">
      <alignment horizontal="center" vertical="top"/>
    </xf>
    <xf numFmtId="2" fontId="18" fillId="7" borderId="0" xfId="0" applyNumberFormat="1" applyFont="1" applyFill="1" applyAlignment="1">
      <alignment horizontal="center" vertical="top"/>
    </xf>
    <xf numFmtId="2" fontId="18" fillId="7" borderId="11" xfId="0" applyNumberFormat="1" applyFont="1" applyFill="1" applyBorder="1" applyAlignment="1">
      <alignment horizontal="center" vertical="top"/>
    </xf>
    <xf numFmtId="0" fontId="17" fillId="7" borderId="0" xfId="0" applyFont="1" applyFill="1" applyAlignment="1">
      <alignment vertical="top"/>
    </xf>
    <xf numFmtId="2" fontId="18" fillId="7" borderId="13" xfId="0" applyNumberFormat="1" applyFont="1" applyFill="1" applyBorder="1" applyAlignment="1">
      <alignment horizontal="center" vertical="top"/>
    </xf>
    <xf numFmtId="2" fontId="18" fillId="7" borderId="14" xfId="0" applyNumberFormat="1" applyFont="1" applyFill="1" applyBorder="1" applyAlignment="1">
      <alignment horizontal="center" vertical="top"/>
    </xf>
    <xf numFmtId="2" fontId="18" fillId="7" borderId="15" xfId="0" applyNumberFormat="1" applyFont="1" applyFill="1" applyBorder="1" applyAlignment="1">
      <alignment horizontal="center" vertical="top"/>
    </xf>
    <xf numFmtId="2" fontId="3" fillId="0" borderId="0" xfId="0" applyNumberFormat="1" applyFont="1" applyAlignment="1">
      <alignment horizontal="right" vertical="top"/>
    </xf>
    <xf numFmtId="2" fontId="7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19" fillId="0" borderId="1" xfId="0" applyFont="1" applyBorder="1" applyAlignment="1">
      <alignment horizontal="center"/>
    </xf>
    <xf numFmtId="2" fontId="19" fillId="3" borderId="1" xfId="0" applyNumberFormat="1" applyFont="1" applyFill="1" applyBorder="1" applyAlignment="1">
      <alignment horizontal="right"/>
    </xf>
    <xf numFmtId="0" fontId="3" fillId="0" borderId="10" xfId="0" applyFont="1" applyBorder="1"/>
    <xf numFmtId="0" fontId="4" fillId="0" borderId="1" xfId="0" applyFont="1" applyBorder="1"/>
    <xf numFmtId="9" fontId="3" fillId="0" borderId="1" xfId="0" applyNumberFormat="1" applyFont="1" applyBorder="1"/>
    <xf numFmtId="2" fontId="3" fillId="0" borderId="1" xfId="0" applyNumberFormat="1" applyFont="1" applyBorder="1"/>
    <xf numFmtId="0" fontId="12" fillId="0" borderId="0" xfId="0" applyFont="1"/>
    <xf numFmtId="9" fontId="3" fillId="6" borderId="8" xfId="2" applyFont="1" applyFill="1" applyBorder="1"/>
    <xf numFmtId="9" fontId="3" fillId="0" borderId="5" xfId="2" applyFont="1" applyBorder="1"/>
    <xf numFmtId="9" fontId="3" fillId="0" borderId="7" xfId="2" applyFont="1" applyBorder="1"/>
    <xf numFmtId="9" fontId="6" fillId="0" borderId="7" xfId="2" applyFont="1" applyBorder="1"/>
    <xf numFmtId="0" fontId="4" fillId="0" borderId="1" xfId="0" applyFont="1" applyBorder="1" applyAlignment="1">
      <alignment horizontal="right"/>
    </xf>
    <xf numFmtId="2" fontId="19" fillId="4" borderId="1" xfId="0" applyNumberFormat="1" applyFont="1" applyFill="1" applyBorder="1" applyAlignment="1">
      <alignment horizontal="right"/>
    </xf>
    <xf numFmtId="9" fontId="3" fillId="2" borderId="21" xfId="2" applyFont="1" applyFill="1" applyBorder="1" applyAlignment="1">
      <alignment horizontal="right"/>
    </xf>
    <xf numFmtId="9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 wrapText="1"/>
    </xf>
    <xf numFmtId="164" fontId="3" fillId="0" borderId="1" xfId="1" applyFont="1" applyBorder="1" applyAlignment="1">
      <alignment horizontal="center"/>
    </xf>
    <xf numFmtId="164" fontId="16" fillId="4" borderId="1" xfId="1" applyFont="1" applyFill="1" applyBorder="1" applyAlignment="1">
      <alignment horizontal="center"/>
    </xf>
    <xf numFmtId="164" fontId="13" fillId="7" borderId="1" xfId="1" applyFont="1" applyFill="1" applyBorder="1" applyAlignment="1">
      <alignment horizontal="center"/>
    </xf>
    <xf numFmtId="0" fontId="13" fillId="7" borderId="22" xfId="3" applyFont="1" applyFill="1" applyBorder="1" applyAlignment="1">
      <alignment horizontal="center" vertical="center" wrapText="1"/>
    </xf>
    <xf numFmtId="0" fontId="13" fillId="7" borderId="23" xfId="3" applyFont="1" applyFill="1" applyBorder="1" applyAlignment="1">
      <alignment horizontal="center" vertical="center" wrapText="1"/>
    </xf>
    <xf numFmtId="0" fontId="13" fillId="7" borderId="24" xfId="3" applyFont="1" applyFill="1" applyBorder="1" applyAlignment="1">
      <alignment horizontal="center" vertical="center" wrapText="1"/>
    </xf>
    <xf numFmtId="0" fontId="17" fillId="7" borderId="27" xfId="3" applyFont="1" applyFill="1" applyBorder="1" applyAlignment="1">
      <alignment horizontal="center" vertical="center" wrapText="1"/>
    </xf>
    <xf numFmtId="9" fontId="3" fillId="2" borderId="8" xfId="2" applyFont="1" applyFill="1" applyBorder="1" applyAlignment="1">
      <alignment horizontal="right"/>
    </xf>
    <xf numFmtId="9" fontId="4" fillId="2" borderId="8" xfId="2" applyFont="1" applyFill="1" applyBorder="1" applyAlignment="1">
      <alignment horizontal="right"/>
    </xf>
    <xf numFmtId="0" fontId="7" fillId="0" borderId="0" xfId="0" applyFont="1" applyAlignment="1">
      <alignment horizontal="right"/>
    </xf>
    <xf numFmtId="2" fontId="4" fillId="0" borderId="1" xfId="0" applyNumberFormat="1" applyFont="1" applyBorder="1"/>
    <xf numFmtId="0" fontId="21" fillId="0" borderId="0" xfId="0" applyFont="1" applyAlignment="1">
      <alignment horizontal="right" wrapText="1"/>
    </xf>
    <xf numFmtId="0" fontId="23" fillId="3" borderId="0" xfId="3" applyFont="1" applyFill="1" applyBorder="1" applyAlignment="1">
      <alignment horizontal="left"/>
    </xf>
    <xf numFmtId="0" fontId="23" fillId="3" borderId="0" xfId="3" applyFont="1" applyFill="1" applyBorder="1" applyAlignment="1">
      <alignment horizontal="right"/>
    </xf>
    <xf numFmtId="0" fontId="24" fillId="0" borderId="0" xfId="0" applyFont="1" applyAlignment="1">
      <alignment horizontal="left" vertical="top"/>
    </xf>
    <xf numFmtId="0" fontId="3" fillId="5" borderId="1" xfId="0" applyFont="1" applyFill="1" applyBorder="1" applyAlignment="1" applyProtection="1">
      <alignment horizontal="center"/>
      <protection locked="0"/>
    </xf>
    <xf numFmtId="0" fontId="3" fillId="10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right"/>
    </xf>
    <xf numFmtId="2" fontId="13" fillId="7" borderId="1" xfId="0" applyNumberFormat="1" applyFont="1" applyFill="1" applyBorder="1" applyAlignment="1">
      <alignment horizontal="right"/>
    </xf>
    <xf numFmtId="0" fontId="13" fillId="7" borderId="1" xfId="0" applyFont="1" applyFill="1" applyBorder="1"/>
    <xf numFmtId="0" fontId="13" fillId="9" borderId="1" xfId="0" applyFont="1" applyFill="1" applyBorder="1" applyAlignment="1">
      <alignment horizontal="right"/>
    </xf>
    <xf numFmtId="0" fontId="13" fillId="9" borderId="1" xfId="0" applyFont="1" applyFill="1" applyBorder="1"/>
    <xf numFmtId="0" fontId="3" fillId="5" borderId="1" xfId="0" applyFont="1" applyFill="1" applyBorder="1"/>
    <xf numFmtId="0" fontId="4" fillId="3" borderId="1" xfId="0" applyFont="1" applyFill="1" applyBorder="1" applyAlignment="1">
      <alignment horizontal="right"/>
    </xf>
    <xf numFmtId="0" fontId="4" fillId="2" borderId="1" xfId="0" applyFont="1" applyFill="1" applyBorder="1"/>
    <xf numFmtId="49" fontId="4" fillId="3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0" fontId="3" fillId="0" borderId="6" xfId="2" applyNumberFormat="1" applyFont="1" applyBorder="1"/>
    <xf numFmtId="0" fontId="3" fillId="0" borderId="7" xfId="2" applyNumberFormat="1" applyFont="1" applyBorder="1"/>
    <xf numFmtId="0" fontId="22" fillId="8" borderId="1" xfId="0" applyFont="1" applyFill="1" applyBorder="1" applyAlignment="1">
      <alignment vertical="top"/>
    </xf>
    <xf numFmtId="0" fontId="25" fillId="3" borderId="0" xfId="3" applyFont="1" applyFill="1" applyBorder="1"/>
    <xf numFmtId="0" fontId="25" fillId="3" borderId="0" xfId="3" applyFont="1" applyFill="1" applyBorder="1" applyProtection="1">
      <protection locked="0"/>
    </xf>
    <xf numFmtId="0" fontId="26" fillId="3" borderId="1" xfId="3" applyFont="1" applyFill="1" applyBorder="1" applyAlignment="1" applyProtection="1">
      <alignment horizontal="center" vertical="center" wrapText="1"/>
      <protection locked="0"/>
    </xf>
    <xf numFmtId="14" fontId="27" fillId="3" borderId="1" xfId="3" applyNumberFormat="1" applyFont="1" applyFill="1" applyBorder="1" applyAlignment="1" applyProtection="1">
      <alignment horizontal="center" vertical="center" wrapText="1"/>
      <protection locked="0"/>
    </xf>
    <xf numFmtId="0" fontId="28" fillId="3" borderId="0" xfId="3" applyFont="1" applyFill="1" applyBorder="1" applyAlignment="1">
      <alignment wrapText="1"/>
    </xf>
    <xf numFmtId="0" fontId="29" fillId="3" borderId="1" xfId="3" applyFont="1" applyFill="1" applyBorder="1" applyAlignment="1">
      <alignment horizontal="center" vertical="top" wrapText="1"/>
    </xf>
    <xf numFmtId="0" fontId="30" fillId="3" borderId="1" xfId="3" applyFont="1" applyFill="1" applyBorder="1" applyAlignment="1" applyProtection="1">
      <alignment horizontal="center" vertical="center" wrapText="1"/>
      <protection locked="0"/>
    </xf>
    <xf numFmtId="0" fontId="27" fillId="3" borderId="1" xfId="3" applyFont="1" applyFill="1" applyBorder="1" applyAlignment="1" applyProtection="1">
      <alignment horizontal="center" vertical="center" wrapText="1"/>
      <protection locked="0"/>
    </xf>
    <xf numFmtId="0" fontId="27" fillId="3" borderId="1" xfId="3" applyFont="1" applyFill="1" applyBorder="1" applyAlignment="1" applyProtection="1">
      <alignment vertical="top" wrapText="1"/>
      <protection locked="0"/>
    </xf>
    <xf numFmtId="0" fontId="32" fillId="7" borderId="1" xfId="3" applyFont="1" applyFill="1" applyBorder="1" applyAlignment="1">
      <alignment horizontal="right" vertical="top" wrapText="1"/>
    </xf>
    <xf numFmtId="0" fontId="33" fillId="7" borderId="1" xfId="3" applyFont="1" applyFill="1" applyBorder="1" applyAlignment="1">
      <alignment vertical="top" wrapText="1"/>
    </xf>
    <xf numFmtId="0" fontId="33" fillId="7" borderId="1" xfId="3" applyFont="1" applyFill="1" applyBorder="1" applyAlignment="1">
      <alignment wrapText="1"/>
    </xf>
    <xf numFmtId="0" fontId="25" fillId="3" borderId="0" xfId="3" applyFont="1" applyFill="1" applyBorder="1" applyAlignment="1">
      <alignment wrapText="1"/>
    </xf>
    <xf numFmtId="0" fontId="34" fillId="3" borderId="0" xfId="3" applyFont="1" applyFill="1" applyBorder="1" applyAlignment="1">
      <alignment horizontal="right"/>
    </xf>
    <xf numFmtId="0" fontId="35" fillId="3" borderId="0" xfId="3" applyFont="1" applyFill="1" applyBorder="1" applyAlignment="1">
      <alignment horizontal="left"/>
    </xf>
    <xf numFmtId="0" fontId="25" fillId="3" borderId="0" xfId="3" applyFont="1" applyFill="1" applyBorder="1" applyAlignment="1" applyProtection="1">
      <alignment wrapText="1"/>
      <protection locked="0"/>
    </xf>
    <xf numFmtId="0" fontId="36" fillId="0" borderId="0" xfId="0" applyFont="1"/>
    <xf numFmtId="0" fontId="25" fillId="0" borderId="0" xfId="0" applyFont="1"/>
    <xf numFmtId="0" fontId="25" fillId="0" borderId="1" xfId="0" applyFont="1" applyBorder="1"/>
    <xf numFmtId="0" fontId="37" fillId="0" borderId="1" xfId="0" applyFont="1" applyBorder="1"/>
    <xf numFmtId="0" fontId="37" fillId="0" borderId="0" xfId="0" applyFont="1"/>
    <xf numFmtId="0" fontId="38" fillId="0" borderId="0" xfId="0" applyFont="1"/>
    <xf numFmtId="0" fontId="39" fillId="0" borderId="20" xfId="0" applyFont="1" applyBorder="1"/>
    <xf numFmtId="0" fontId="25" fillId="0" borderId="29" xfId="0" applyFont="1" applyBorder="1"/>
    <xf numFmtId="0" fontId="25" fillId="0" borderId="30" xfId="0" applyFont="1" applyBorder="1"/>
    <xf numFmtId="0" fontId="31" fillId="5" borderId="31" xfId="0" applyFont="1" applyFill="1" applyBorder="1"/>
    <xf numFmtId="0" fontId="25" fillId="5" borderId="0" xfId="0" applyFont="1" applyFill="1"/>
    <xf numFmtId="0" fontId="25" fillId="0" borderId="32" xfId="0" applyFont="1" applyBorder="1"/>
    <xf numFmtId="0" fontId="31" fillId="0" borderId="31" xfId="0" applyFont="1" applyBorder="1"/>
    <xf numFmtId="0" fontId="39" fillId="0" borderId="31" xfId="0" applyFont="1" applyBorder="1"/>
    <xf numFmtId="0" fontId="31" fillId="0" borderId="33" xfId="0" applyFont="1" applyBorder="1"/>
    <xf numFmtId="0" fontId="25" fillId="0" borderId="10" xfId="0" applyFont="1" applyBorder="1"/>
    <xf numFmtId="0" fontId="25" fillId="0" borderId="34" xfId="0" applyFont="1" applyBorder="1"/>
    <xf numFmtId="0" fontId="31" fillId="0" borderId="0" xfId="0" applyFont="1"/>
    <xf numFmtId="0" fontId="41" fillId="0" borderId="0" xfId="0" applyFont="1" applyAlignment="1">
      <alignment horizontal="left" vertical="top"/>
    </xf>
    <xf numFmtId="0" fontId="40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42" fillId="0" borderId="1" xfId="0" applyFont="1" applyBorder="1"/>
    <xf numFmtId="0" fontId="42" fillId="2" borderId="1" xfId="0" applyFont="1" applyFill="1" applyBorder="1"/>
    <xf numFmtId="0" fontId="42" fillId="3" borderId="1" xfId="0" applyFont="1" applyFill="1" applyBorder="1"/>
    <xf numFmtId="0" fontId="42" fillId="0" borderId="0" xfId="0" applyFont="1" applyAlignment="1">
      <alignment horizontal="left" vertical="top"/>
    </xf>
    <xf numFmtId="0" fontId="42" fillId="0" borderId="0" xfId="0" applyFont="1" applyAlignment="1">
      <alignment vertical="top"/>
    </xf>
    <xf numFmtId="0" fontId="13" fillId="7" borderId="27" xfId="3" applyFont="1" applyFill="1" applyBorder="1" applyAlignment="1">
      <alignment horizontal="center" vertical="center" wrapText="1"/>
    </xf>
    <xf numFmtId="0" fontId="13" fillId="7" borderId="28" xfId="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164" fontId="3" fillId="0" borderId="0" xfId="0" applyNumberFormat="1" applyFont="1"/>
    <xf numFmtId="2" fontId="3" fillId="8" borderId="1" xfId="0" applyNumberFormat="1" applyFont="1" applyFill="1" applyBorder="1"/>
    <xf numFmtId="14" fontId="25" fillId="0" borderId="1" xfId="0" applyNumberFormat="1" applyFont="1" applyBorder="1" applyAlignment="1">
      <alignment horizontal="center"/>
    </xf>
    <xf numFmtId="14" fontId="25" fillId="0" borderId="1" xfId="0" applyNumberFormat="1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right"/>
    </xf>
    <xf numFmtId="9" fontId="3" fillId="3" borderId="5" xfId="2" applyFont="1" applyFill="1" applyBorder="1"/>
    <xf numFmtId="9" fontId="3" fillId="3" borderId="6" xfId="2" applyFont="1" applyFill="1" applyBorder="1"/>
    <xf numFmtId="0" fontId="22" fillId="8" borderId="9" xfId="0" applyFont="1" applyFill="1" applyBorder="1" applyAlignment="1">
      <alignment vertical="top"/>
    </xf>
    <xf numFmtId="0" fontId="4" fillId="3" borderId="1" xfId="0" applyFont="1" applyFill="1" applyBorder="1" applyAlignment="1">
      <alignment horizontal="left" vertical="top" wrapText="1"/>
    </xf>
    <xf numFmtId="49" fontId="43" fillId="3" borderId="1" xfId="4" applyNumberFormat="1" applyFill="1" applyBorder="1" applyAlignment="1">
      <alignment vertical="top" wrapText="1"/>
    </xf>
    <xf numFmtId="0" fontId="13" fillId="9" borderId="16" xfId="0" applyFont="1" applyFill="1" applyBorder="1" applyAlignment="1">
      <alignment horizontal="center" vertical="center"/>
    </xf>
    <xf numFmtId="0" fontId="13" fillId="9" borderId="17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4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7" fillId="3" borderId="5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" fillId="0" borderId="5" xfId="0" applyFont="1" applyBorder="1" applyAlignment="1">
      <alignment vertical="top" wrapText="1"/>
    </xf>
    <xf numFmtId="0" fontId="13" fillId="7" borderId="25" xfId="3" applyFont="1" applyFill="1" applyBorder="1" applyAlignment="1">
      <alignment horizontal="center" vertical="center" wrapText="1"/>
    </xf>
    <xf numFmtId="0" fontId="13" fillId="7" borderId="26" xfId="3" applyFont="1" applyFill="1" applyBorder="1" applyAlignment="1">
      <alignment horizontal="center" vertical="center" wrapText="1"/>
    </xf>
    <xf numFmtId="0" fontId="13" fillId="7" borderId="1" xfId="3" applyFont="1" applyFill="1" applyBorder="1" applyAlignment="1">
      <alignment horizontal="center" vertical="center" wrapText="1"/>
    </xf>
  </cellXfs>
  <cellStyles count="5">
    <cellStyle name="Hipervínculo" xfId="4" builtinId="8"/>
    <cellStyle name="Millares" xfId="1" builtinId="3"/>
    <cellStyle name="Normal" xfId="0" builtinId="0"/>
    <cellStyle name="Normal 2" xfId="3" xr:uid="{79DB3BA4-1F58-4241-9C2F-790FEAAE118C}"/>
    <cellStyle name="Porcentaje" xfId="2" builtinId="5"/>
  </cellStyles>
  <dxfs count="0"/>
  <tableStyles count="0" defaultTableStyle="TableStyleMedium2" defaultPivotStyle="PivotStyleLight16"/>
  <colors>
    <mruColors>
      <color rgb="FF232D4B"/>
      <color rgb="FF005573"/>
      <color rgb="FFF04641"/>
      <color rgb="FF00AF9B"/>
      <color rgb="FFF07F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1</xdr:rowOff>
    </xdr:from>
    <xdr:to>
      <xdr:col>2</xdr:col>
      <xdr:colOff>506982</xdr:colOff>
      <xdr:row>3</xdr:row>
      <xdr:rowOff>76200</xdr:rowOff>
    </xdr:to>
    <xdr:grpSp>
      <xdr:nvGrpSpPr>
        <xdr:cNvPr id="2" name="Graphique 9">
          <a:extLst>
            <a:ext uri="{FF2B5EF4-FFF2-40B4-BE49-F238E27FC236}">
              <a16:creationId xmlns:a16="http://schemas.microsoft.com/office/drawing/2014/main" id="{74DCFE23-92F8-4A37-85C3-EA1DE1DD9AD0}"/>
            </a:ext>
          </a:extLst>
        </xdr:cNvPr>
        <xdr:cNvGrpSpPr>
          <a:grpSpLocks noChangeAspect="1"/>
        </xdr:cNvGrpSpPr>
      </xdr:nvGrpSpPr>
      <xdr:grpSpPr>
        <a:xfrm>
          <a:off x="171451" y="161926"/>
          <a:ext cx="1707131" cy="400049"/>
          <a:chOff x="13512800" y="647260"/>
          <a:chExt cx="1824935" cy="432728"/>
        </a:xfrm>
      </xdr:grpSpPr>
      <xdr:sp macro="" textlink="">
        <xdr:nvSpPr>
          <xdr:cNvPr id="3" name="Forme libre : forme 17">
            <a:extLst>
              <a:ext uri="{FF2B5EF4-FFF2-40B4-BE49-F238E27FC236}">
                <a16:creationId xmlns:a16="http://schemas.microsoft.com/office/drawing/2014/main" id="{B122B77C-C5D7-4A76-A516-8A5FB41CB70D}"/>
              </a:ext>
            </a:extLst>
          </xdr:cNvPr>
          <xdr:cNvSpPr/>
        </xdr:nvSpPr>
        <xdr:spPr>
          <a:xfrm>
            <a:off x="13798067" y="988549"/>
            <a:ext cx="1254402" cy="91439"/>
          </a:xfrm>
          <a:custGeom>
            <a:avLst/>
            <a:gdLst>
              <a:gd name="connsiteX0" fmla="*/ 70834 w 1254402"/>
              <a:gd name="connsiteY0" fmla="*/ 31553 h 91439"/>
              <a:gd name="connsiteX1" fmla="*/ 47652 w 1254402"/>
              <a:gd name="connsiteY1" fmla="*/ 53447 h 91439"/>
              <a:gd name="connsiteX2" fmla="*/ 15455 w 1254402"/>
              <a:gd name="connsiteY2" fmla="*/ 53447 h 91439"/>
              <a:gd name="connsiteX3" fmla="*/ 15455 w 1254402"/>
              <a:gd name="connsiteY3" fmla="*/ 69546 h 91439"/>
              <a:gd name="connsiteX4" fmla="*/ 0 w 1254402"/>
              <a:gd name="connsiteY4" fmla="*/ 69546 h 91439"/>
              <a:gd name="connsiteX5" fmla="*/ 0 w 1254402"/>
              <a:gd name="connsiteY5" fmla="*/ 9015 h 91439"/>
              <a:gd name="connsiteX6" fmla="*/ 47652 w 1254402"/>
              <a:gd name="connsiteY6" fmla="*/ 9015 h 91439"/>
              <a:gd name="connsiteX7" fmla="*/ 70834 w 1254402"/>
              <a:gd name="connsiteY7" fmla="*/ 31553 h 91439"/>
              <a:gd name="connsiteX8" fmla="*/ 55379 w 1254402"/>
              <a:gd name="connsiteY8" fmla="*/ 31553 h 91439"/>
              <a:gd name="connsiteX9" fmla="*/ 43788 w 1254402"/>
              <a:gd name="connsiteY9" fmla="*/ 22538 h 91439"/>
              <a:gd name="connsiteX10" fmla="*/ 16099 w 1254402"/>
              <a:gd name="connsiteY10" fmla="*/ 22538 h 91439"/>
              <a:gd name="connsiteX11" fmla="*/ 16099 w 1254402"/>
              <a:gd name="connsiteY11" fmla="*/ 40568 h 91439"/>
              <a:gd name="connsiteX12" fmla="*/ 43144 w 1254402"/>
              <a:gd name="connsiteY12" fmla="*/ 40568 h 91439"/>
              <a:gd name="connsiteX13" fmla="*/ 55379 w 1254402"/>
              <a:gd name="connsiteY13" fmla="*/ 31553 h 91439"/>
              <a:gd name="connsiteX14" fmla="*/ 79849 w 1254402"/>
              <a:gd name="connsiteY14" fmla="*/ 44432 h 91439"/>
              <a:gd name="connsiteX15" fmla="*/ 115266 w 1254402"/>
              <a:gd name="connsiteY15" fmla="*/ 18030 h 91439"/>
              <a:gd name="connsiteX16" fmla="*/ 150683 w 1254402"/>
              <a:gd name="connsiteY16" fmla="*/ 44432 h 91439"/>
              <a:gd name="connsiteX17" fmla="*/ 115266 w 1254402"/>
              <a:gd name="connsiteY17" fmla="*/ 70834 h 91439"/>
              <a:gd name="connsiteX18" fmla="*/ 79849 w 1254402"/>
              <a:gd name="connsiteY18" fmla="*/ 44432 h 91439"/>
              <a:gd name="connsiteX19" fmla="*/ 135228 w 1254402"/>
              <a:gd name="connsiteY19" fmla="*/ 44432 h 91439"/>
              <a:gd name="connsiteX20" fmla="*/ 114622 w 1254402"/>
              <a:gd name="connsiteY20" fmla="*/ 30265 h 91439"/>
              <a:gd name="connsiteX21" fmla="*/ 94016 w 1254402"/>
              <a:gd name="connsiteY21" fmla="*/ 44432 h 91439"/>
              <a:gd name="connsiteX22" fmla="*/ 114622 w 1254402"/>
              <a:gd name="connsiteY22" fmla="*/ 58599 h 91439"/>
              <a:gd name="connsiteX23" fmla="*/ 135228 w 1254402"/>
              <a:gd name="connsiteY23" fmla="*/ 44432 h 91439"/>
              <a:gd name="connsiteX24" fmla="*/ 173221 w 1254402"/>
              <a:gd name="connsiteY24" fmla="*/ 52159 h 91439"/>
              <a:gd name="connsiteX25" fmla="*/ 195115 w 1254402"/>
              <a:gd name="connsiteY25" fmla="*/ 59887 h 91439"/>
              <a:gd name="connsiteX26" fmla="*/ 213789 w 1254402"/>
              <a:gd name="connsiteY26" fmla="*/ 54735 h 91439"/>
              <a:gd name="connsiteX27" fmla="*/ 193827 w 1254402"/>
              <a:gd name="connsiteY27" fmla="*/ 49584 h 91439"/>
              <a:gd name="connsiteX28" fmla="*/ 160342 w 1254402"/>
              <a:gd name="connsiteY28" fmla="*/ 34129 h 91439"/>
              <a:gd name="connsiteX29" fmla="*/ 193827 w 1254402"/>
              <a:gd name="connsiteY29" fmla="*/ 18674 h 91439"/>
              <a:gd name="connsiteX30" fmla="*/ 226668 w 1254402"/>
              <a:gd name="connsiteY30" fmla="*/ 35417 h 91439"/>
              <a:gd name="connsiteX31" fmla="*/ 211857 w 1254402"/>
              <a:gd name="connsiteY31" fmla="*/ 35417 h 91439"/>
              <a:gd name="connsiteX32" fmla="*/ 192539 w 1254402"/>
              <a:gd name="connsiteY32" fmla="*/ 30265 h 91439"/>
              <a:gd name="connsiteX33" fmla="*/ 174509 w 1254402"/>
              <a:gd name="connsiteY33" fmla="*/ 34129 h 91439"/>
              <a:gd name="connsiteX34" fmla="*/ 194471 w 1254402"/>
              <a:gd name="connsiteY34" fmla="*/ 39281 h 91439"/>
              <a:gd name="connsiteX35" fmla="*/ 227956 w 1254402"/>
              <a:gd name="connsiteY35" fmla="*/ 54735 h 91439"/>
              <a:gd name="connsiteX36" fmla="*/ 195759 w 1254402"/>
              <a:gd name="connsiteY36" fmla="*/ 71478 h 91439"/>
              <a:gd name="connsiteX37" fmla="*/ 158410 w 1254402"/>
              <a:gd name="connsiteY37" fmla="*/ 52803 h 91439"/>
              <a:gd name="connsiteX38" fmla="*/ 173221 w 1254402"/>
              <a:gd name="connsiteY38" fmla="*/ 52803 h 91439"/>
              <a:gd name="connsiteX39" fmla="*/ 254358 w 1254402"/>
              <a:gd name="connsiteY39" fmla="*/ 644 h 91439"/>
              <a:gd name="connsiteX40" fmla="*/ 254358 w 1254402"/>
              <a:gd name="connsiteY40" fmla="*/ 13523 h 91439"/>
              <a:gd name="connsiteX41" fmla="*/ 239547 w 1254402"/>
              <a:gd name="connsiteY41" fmla="*/ 13523 h 91439"/>
              <a:gd name="connsiteX42" fmla="*/ 239547 w 1254402"/>
              <a:gd name="connsiteY42" fmla="*/ 644 h 91439"/>
              <a:gd name="connsiteX43" fmla="*/ 254358 w 1254402"/>
              <a:gd name="connsiteY43" fmla="*/ 644 h 91439"/>
              <a:gd name="connsiteX44" fmla="*/ 254358 w 1254402"/>
              <a:gd name="connsiteY44" fmla="*/ 19318 h 91439"/>
              <a:gd name="connsiteX45" fmla="*/ 254358 w 1254402"/>
              <a:gd name="connsiteY45" fmla="*/ 70190 h 91439"/>
              <a:gd name="connsiteX46" fmla="*/ 239547 w 1254402"/>
              <a:gd name="connsiteY46" fmla="*/ 70190 h 91439"/>
              <a:gd name="connsiteX47" fmla="*/ 239547 w 1254402"/>
              <a:gd name="connsiteY47" fmla="*/ 19318 h 91439"/>
              <a:gd name="connsiteX48" fmla="*/ 254358 w 1254402"/>
              <a:gd name="connsiteY48" fmla="*/ 19318 h 91439"/>
              <a:gd name="connsiteX49" fmla="*/ 292994 w 1254402"/>
              <a:gd name="connsiteY49" fmla="*/ 31553 h 91439"/>
              <a:gd name="connsiteX50" fmla="*/ 292994 w 1254402"/>
              <a:gd name="connsiteY50" fmla="*/ 46364 h 91439"/>
              <a:gd name="connsiteX51" fmla="*/ 303941 w 1254402"/>
              <a:gd name="connsiteY51" fmla="*/ 58599 h 91439"/>
              <a:gd name="connsiteX52" fmla="*/ 316820 w 1254402"/>
              <a:gd name="connsiteY52" fmla="*/ 57955 h 91439"/>
              <a:gd name="connsiteX53" fmla="*/ 316820 w 1254402"/>
              <a:gd name="connsiteY53" fmla="*/ 69546 h 91439"/>
              <a:gd name="connsiteX54" fmla="*/ 299434 w 1254402"/>
              <a:gd name="connsiteY54" fmla="*/ 70834 h 91439"/>
              <a:gd name="connsiteX55" fmla="*/ 278184 w 1254402"/>
              <a:gd name="connsiteY55" fmla="*/ 54735 h 91439"/>
              <a:gd name="connsiteX56" fmla="*/ 278184 w 1254402"/>
              <a:gd name="connsiteY56" fmla="*/ 31553 h 91439"/>
              <a:gd name="connsiteX57" fmla="*/ 264661 w 1254402"/>
              <a:gd name="connsiteY57" fmla="*/ 31553 h 91439"/>
              <a:gd name="connsiteX58" fmla="*/ 264661 w 1254402"/>
              <a:gd name="connsiteY58" fmla="*/ 19318 h 91439"/>
              <a:gd name="connsiteX59" fmla="*/ 278184 w 1254402"/>
              <a:gd name="connsiteY59" fmla="*/ 19318 h 91439"/>
              <a:gd name="connsiteX60" fmla="*/ 278184 w 1254402"/>
              <a:gd name="connsiteY60" fmla="*/ 9015 h 91439"/>
              <a:gd name="connsiteX61" fmla="*/ 292994 w 1254402"/>
              <a:gd name="connsiteY61" fmla="*/ 4508 h 91439"/>
              <a:gd name="connsiteX62" fmla="*/ 292994 w 1254402"/>
              <a:gd name="connsiteY62" fmla="*/ 19318 h 91439"/>
              <a:gd name="connsiteX63" fmla="*/ 316820 w 1254402"/>
              <a:gd name="connsiteY63" fmla="*/ 19318 h 91439"/>
              <a:gd name="connsiteX64" fmla="*/ 316820 w 1254402"/>
              <a:gd name="connsiteY64" fmla="*/ 31553 h 91439"/>
              <a:gd name="connsiteX65" fmla="*/ 292994 w 1254402"/>
              <a:gd name="connsiteY65" fmla="*/ 31553 h 91439"/>
              <a:gd name="connsiteX66" fmla="*/ 342578 w 1254402"/>
              <a:gd name="connsiteY66" fmla="*/ 644 h 91439"/>
              <a:gd name="connsiteX67" fmla="*/ 342578 w 1254402"/>
              <a:gd name="connsiteY67" fmla="*/ 13523 h 91439"/>
              <a:gd name="connsiteX68" fmla="*/ 327767 w 1254402"/>
              <a:gd name="connsiteY68" fmla="*/ 13523 h 91439"/>
              <a:gd name="connsiteX69" fmla="*/ 327767 w 1254402"/>
              <a:gd name="connsiteY69" fmla="*/ 644 h 91439"/>
              <a:gd name="connsiteX70" fmla="*/ 342578 w 1254402"/>
              <a:gd name="connsiteY70" fmla="*/ 644 h 91439"/>
              <a:gd name="connsiteX71" fmla="*/ 342578 w 1254402"/>
              <a:gd name="connsiteY71" fmla="*/ 19318 h 91439"/>
              <a:gd name="connsiteX72" fmla="*/ 342578 w 1254402"/>
              <a:gd name="connsiteY72" fmla="*/ 70190 h 91439"/>
              <a:gd name="connsiteX73" fmla="*/ 327767 w 1254402"/>
              <a:gd name="connsiteY73" fmla="*/ 70190 h 91439"/>
              <a:gd name="connsiteX74" fmla="*/ 327767 w 1254402"/>
              <a:gd name="connsiteY74" fmla="*/ 19318 h 91439"/>
              <a:gd name="connsiteX75" fmla="*/ 342578 w 1254402"/>
              <a:gd name="connsiteY75" fmla="*/ 19318 h 91439"/>
              <a:gd name="connsiteX76" fmla="*/ 424359 w 1254402"/>
              <a:gd name="connsiteY76" fmla="*/ 19318 h 91439"/>
              <a:gd name="connsiteX77" fmla="*/ 398601 w 1254402"/>
              <a:gd name="connsiteY77" fmla="*/ 70190 h 91439"/>
              <a:gd name="connsiteX78" fmla="*/ 377995 w 1254402"/>
              <a:gd name="connsiteY78" fmla="*/ 70190 h 91439"/>
              <a:gd name="connsiteX79" fmla="*/ 352237 w 1254402"/>
              <a:gd name="connsiteY79" fmla="*/ 19318 h 91439"/>
              <a:gd name="connsiteX80" fmla="*/ 368336 w 1254402"/>
              <a:gd name="connsiteY80" fmla="*/ 19318 h 91439"/>
              <a:gd name="connsiteX81" fmla="*/ 388298 w 1254402"/>
              <a:gd name="connsiteY81" fmla="*/ 59887 h 91439"/>
              <a:gd name="connsiteX82" fmla="*/ 408260 w 1254402"/>
              <a:gd name="connsiteY82" fmla="*/ 19318 h 91439"/>
              <a:gd name="connsiteX83" fmla="*/ 424359 w 1254402"/>
              <a:gd name="connsiteY83" fmla="*/ 19318 h 91439"/>
              <a:gd name="connsiteX84" fmla="*/ 481670 w 1254402"/>
              <a:gd name="connsiteY84" fmla="*/ 51515 h 91439"/>
              <a:gd name="connsiteX85" fmla="*/ 496481 w 1254402"/>
              <a:gd name="connsiteY85" fmla="*/ 51515 h 91439"/>
              <a:gd name="connsiteX86" fmla="*/ 461708 w 1254402"/>
              <a:gd name="connsiteY86" fmla="*/ 70834 h 91439"/>
              <a:gd name="connsiteX87" fmla="*/ 427579 w 1254402"/>
              <a:gd name="connsiteY87" fmla="*/ 44432 h 91439"/>
              <a:gd name="connsiteX88" fmla="*/ 462995 w 1254402"/>
              <a:gd name="connsiteY88" fmla="*/ 18030 h 91439"/>
              <a:gd name="connsiteX89" fmla="*/ 497768 w 1254402"/>
              <a:gd name="connsiteY89" fmla="*/ 47652 h 91439"/>
              <a:gd name="connsiteX90" fmla="*/ 442389 w 1254402"/>
              <a:gd name="connsiteY90" fmla="*/ 47652 h 91439"/>
              <a:gd name="connsiteX91" fmla="*/ 461708 w 1254402"/>
              <a:gd name="connsiteY91" fmla="*/ 58599 h 91439"/>
              <a:gd name="connsiteX92" fmla="*/ 481670 w 1254402"/>
              <a:gd name="connsiteY92" fmla="*/ 51515 h 91439"/>
              <a:gd name="connsiteX93" fmla="*/ 442389 w 1254402"/>
              <a:gd name="connsiteY93" fmla="*/ 38637 h 91439"/>
              <a:gd name="connsiteX94" fmla="*/ 481026 w 1254402"/>
              <a:gd name="connsiteY94" fmla="*/ 38637 h 91439"/>
              <a:gd name="connsiteX95" fmla="*/ 461708 w 1254402"/>
              <a:gd name="connsiteY95" fmla="*/ 29621 h 91439"/>
              <a:gd name="connsiteX96" fmla="*/ 442389 w 1254402"/>
              <a:gd name="connsiteY96" fmla="*/ 38637 h 91439"/>
              <a:gd name="connsiteX97" fmla="*/ 622694 w 1254402"/>
              <a:gd name="connsiteY97" fmla="*/ 644 h 91439"/>
              <a:gd name="connsiteX98" fmla="*/ 622694 w 1254402"/>
              <a:gd name="connsiteY98" fmla="*/ 69546 h 91439"/>
              <a:gd name="connsiteX99" fmla="*/ 607883 w 1254402"/>
              <a:gd name="connsiteY99" fmla="*/ 69546 h 91439"/>
              <a:gd name="connsiteX100" fmla="*/ 607883 w 1254402"/>
              <a:gd name="connsiteY100" fmla="*/ 61819 h 91439"/>
              <a:gd name="connsiteX101" fmla="*/ 582769 w 1254402"/>
              <a:gd name="connsiteY101" fmla="*/ 70834 h 91439"/>
              <a:gd name="connsiteX102" fmla="*/ 552504 w 1254402"/>
              <a:gd name="connsiteY102" fmla="*/ 44432 h 91439"/>
              <a:gd name="connsiteX103" fmla="*/ 582769 w 1254402"/>
              <a:gd name="connsiteY103" fmla="*/ 18030 h 91439"/>
              <a:gd name="connsiteX104" fmla="*/ 607883 w 1254402"/>
              <a:gd name="connsiteY104" fmla="*/ 27046 h 91439"/>
              <a:gd name="connsiteX105" fmla="*/ 607883 w 1254402"/>
              <a:gd name="connsiteY105" fmla="*/ 644 h 91439"/>
              <a:gd name="connsiteX106" fmla="*/ 622694 w 1254402"/>
              <a:gd name="connsiteY106" fmla="*/ 644 h 91439"/>
              <a:gd name="connsiteX107" fmla="*/ 607883 w 1254402"/>
              <a:gd name="connsiteY107" fmla="*/ 44432 h 91439"/>
              <a:gd name="connsiteX108" fmla="*/ 587277 w 1254402"/>
              <a:gd name="connsiteY108" fmla="*/ 30265 h 91439"/>
              <a:gd name="connsiteX109" fmla="*/ 566670 w 1254402"/>
              <a:gd name="connsiteY109" fmla="*/ 44432 h 91439"/>
              <a:gd name="connsiteX110" fmla="*/ 587277 w 1254402"/>
              <a:gd name="connsiteY110" fmla="*/ 58599 h 91439"/>
              <a:gd name="connsiteX111" fmla="*/ 607883 w 1254402"/>
              <a:gd name="connsiteY111" fmla="*/ 44432 h 91439"/>
              <a:gd name="connsiteX112" fmla="*/ 649739 w 1254402"/>
              <a:gd name="connsiteY112" fmla="*/ 644 h 91439"/>
              <a:gd name="connsiteX113" fmla="*/ 649739 w 1254402"/>
              <a:gd name="connsiteY113" fmla="*/ 13523 h 91439"/>
              <a:gd name="connsiteX114" fmla="*/ 634928 w 1254402"/>
              <a:gd name="connsiteY114" fmla="*/ 13523 h 91439"/>
              <a:gd name="connsiteX115" fmla="*/ 634928 w 1254402"/>
              <a:gd name="connsiteY115" fmla="*/ 644 h 91439"/>
              <a:gd name="connsiteX116" fmla="*/ 649739 w 1254402"/>
              <a:gd name="connsiteY116" fmla="*/ 644 h 91439"/>
              <a:gd name="connsiteX117" fmla="*/ 649739 w 1254402"/>
              <a:gd name="connsiteY117" fmla="*/ 19318 h 91439"/>
              <a:gd name="connsiteX118" fmla="*/ 649739 w 1254402"/>
              <a:gd name="connsiteY118" fmla="*/ 70190 h 91439"/>
              <a:gd name="connsiteX119" fmla="*/ 634928 w 1254402"/>
              <a:gd name="connsiteY119" fmla="*/ 70190 h 91439"/>
              <a:gd name="connsiteX120" fmla="*/ 634928 w 1254402"/>
              <a:gd name="connsiteY120" fmla="*/ 19318 h 91439"/>
              <a:gd name="connsiteX121" fmla="*/ 649739 w 1254402"/>
              <a:gd name="connsiteY121" fmla="*/ 19318 h 91439"/>
              <a:gd name="connsiteX122" fmla="*/ 730876 w 1254402"/>
              <a:gd name="connsiteY122" fmla="*/ 19318 h 91439"/>
              <a:gd name="connsiteX123" fmla="*/ 730876 w 1254402"/>
              <a:gd name="connsiteY123" fmla="*/ 61819 h 91439"/>
              <a:gd name="connsiteX124" fmla="*/ 698035 w 1254402"/>
              <a:gd name="connsiteY124" fmla="*/ 91440 h 91439"/>
              <a:gd name="connsiteX125" fmla="*/ 666482 w 1254402"/>
              <a:gd name="connsiteY125" fmla="*/ 87576 h 91439"/>
              <a:gd name="connsiteX126" fmla="*/ 666482 w 1254402"/>
              <a:gd name="connsiteY126" fmla="*/ 75985 h 91439"/>
              <a:gd name="connsiteX127" fmla="*/ 694815 w 1254402"/>
              <a:gd name="connsiteY127" fmla="*/ 79849 h 91439"/>
              <a:gd name="connsiteX128" fmla="*/ 716065 w 1254402"/>
              <a:gd name="connsiteY128" fmla="*/ 61175 h 91439"/>
              <a:gd name="connsiteX129" fmla="*/ 690308 w 1254402"/>
              <a:gd name="connsiteY129" fmla="*/ 70190 h 91439"/>
              <a:gd name="connsiteX130" fmla="*/ 660686 w 1254402"/>
              <a:gd name="connsiteY130" fmla="*/ 44432 h 91439"/>
              <a:gd name="connsiteX131" fmla="*/ 690308 w 1254402"/>
              <a:gd name="connsiteY131" fmla="*/ 18674 h 91439"/>
              <a:gd name="connsiteX132" fmla="*/ 716065 w 1254402"/>
              <a:gd name="connsiteY132" fmla="*/ 27690 h 91439"/>
              <a:gd name="connsiteX133" fmla="*/ 716065 w 1254402"/>
              <a:gd name="connsiteY133" fmla="*/ 19318 h 91439"/>
              <a:gd name="connsiteX134" fmla="*/ 730876 w 1254402"/>
              <a:gd name="connsiteY134" fmla="*/ 19318 h 91439"/>
              <a:gd name="connsiteX135" fmla="*/ 715421 w 1254402"/>
              <a:gd name="connsiteY135" fmla="*/ 43788 h 91439"/>
              <a:gd name="connsiteX136" fmla="*/ 694815 w 1254402"/>
              <a:gd name="connsiteY136" fmla="*/ 30909 h 91439"/>
              <a:gd name="connsiteX137" fmla="*/ 674209 w 1254402"/>
              <a:gd name="connsiteY137" fmla="*/ 43788 h 91439"/>
              <a:gd name="connsiteX138" fmla="*/ 694815 w 1254402"/>
              <a:gd name="connsiteY138" fmla="*/ 56667 h 91439"/>
              <a:gd name="connsiteX139" fmla="*/ 715421 w 1254402"/>
              <a:gd name="connsiteY139" fmla="*/ 43788 h 91439"/>
              <a:gd name="connsiteX140" fmla="*/ 757278 w 1254402"/>
              <a:gd name="connsiteY140" fmla="*/ 644 h 91439"/>
              <a:gd name="connsiteX141" fmla="*/ 757278 w 1254402"/>
              <a:gd name="connsiteY141" fmla="*/ 13523 h 91439"/>
              <a:gd name="connsiteX142" fmla="*/ 742467 w 1254402"/>
              <a:gd name="connsiteY142" fmla="*/ 13523 h 91439"/>
              <a:gd name="connsiteX143" fmla="*/ 742467 w 1254402"/>
              <a:gd name="connsiteY143" fmla="*/ 644 h 91439"/>
              <a:gd name="connsiteX144" fmla="*/ 757278 w 1254402"/>
              <a:gd name="connsiteY144" fmla="*/ 644 h 91439"/>
              <a:gd name="connsiteX145" fmla="*/ 757278 w 1254402"/>
              <a:gd name="connsiteY145" fmla="*/ 19318 h 91439"/>
              <a:gd name="connsiteX146" fmla="*/ 757278 w 1254402"/>
              <a:gd name="connsiteY146" fmla="*/ 70190 h 91439"/>
              <a:gd name="connsiteX147" fmla="*/ 742467 w 1254402"/>
              <a:gd name="connsiteY147" fmla="*/ 70190 h 91439"/>
              <a:gd name="connsiteX148" fmla="*/ 742467 w 1254402"/>
              <a:gd name="connsiteY148" fmla="*/ 19318 h 91439"/>
              <a:gd name="connsiteX149" fmla="*/ 757278 w 1254402"/>
              <a:gd name="connsiteY149" fmla="*/ 19318 h 91439"/>
              <a:gd name="connsiteX150" fmla="*/ 795914 w 1254402"/>
              <a:gd name="connsiteY150" fmla="*/ 31553 h 91439"/>
              <a:gd name="connsiteX151" fmla="*/ 795914 w 1254402"/>
              <a:gd name="connsiteY151" fmla="*/ 46364 h 91439"/>
              <a:gd name="connsiteX152" fmla="*/ 806861 w 1254402"/>
              <a:gd name="connsiteY152" fmla="*/ 58599 h 91439"/>
              <a:gd name="connsiteX153" fmla="*/ 819740 w 1254402"/>
              <a:gd name="connsiteY153" fmla="*/ 57955 h 91439"/>
              <a:gd name="connsiteX154" fmla="*/ 819740 w 1254402"/>
              <a:gd name="connsiteY154" fmla="*/ 69546 h 91439"/>
              <a:gd name="connsiteX155" fmla="*/ 802354 w 1254402"/>
              <a:gd name="connsiteY155" fmla="*/ 70834 h 91439"/>
              <a:gd name="connsiteX156" fmla="*/ 781104 w 1254402"/>
              <a:gd name="connsiteY156" fmla="*/ 54735 h 91439"/>
              <a:gd name="connsiteX157" fmla="*/ 781104 w 1254402"/>
              <a:gd name="connsiteY157" fmla="*/ 31553 h 91439"/>
              <a:gd name="connsiteX158" fmla="*/ 767581 w 1254402"/>
              <a:gd name="connsiteY158" fmla="*/ 31553 h 91439"/>
              <a:gd name="connsiteX159" fmla="*/ 767581 w 1254402"/>
              <a:gd name="connsiteY159" fmla="*/ 19318 h 91439"/>
              <a:gd name="connsiteX160" fmla="*/ 781104 w 1254402"/>
              <a:gd name="connsiteY160" fmla="*/ 19318 h 91439"/>
              <a:gd name="connsiteX161" fmla="*/ 781104 w 1254402"/>
              <a:gd name="connsiteY161" fmla="*/ 9015 h 91439"/>
              <a:gd name="connsiteX162" fmla="*/ 795914 w 1254402"/>
              <a:gd name="connsiteY162" fmla="*/ 4508 h 91439"/>
              <a:gd name="connsiteX163" fmla="*/ 795914 w 1254402"/>
              <a:gd name="connsiteY163" fmla="*/ 19318 h 91439"/>
              <a:gd name="connsiteX164" fmla="*/ 819740 w 1254402"/>
              <a:gd name="connsiteY164" fmla="*/ 19318 h 91439"/>
              <a:gd name="connsiteX165" fmla="*/ 819740 w 1254402"/>
              <a:gd name="connsiteY165" fmla="*/ 31553 h 91439"/>
              <a:gd name="connsiteX166" fmla="*/ 795914 w 1254402"/>
              <a:gd name="connsiteY166" fmla="*/ 31553 h 91439"/>
              <a:gd name="connsiteX167" fmla="*/ 898301 w 1254402"/>
              <a:gd name="connsiteY167" fmla="*/ 44432 h 91439"/>
              <a:gd name="connsiteX168" fmla="*/ 898301 w 1254402"/>
              <a:gd name="connsiteY168" fmla="*/ 70190 h 91439"/>
              <a:gd name="connsiteX169" fmla="*/ 883491 w 1254402"/>
              <a:gd name="connsiteY169" fmla="*/ 70190 h 91439"/>
              <a:gd name="connsiteX170" fmla="*/ 883491 w 1254402"/>
              <a:gd name="connsiteY170" fmla="*/ 63750 h 91439"/>
              <a:gd name="connsiteX171" fmla="*/ 852581 w 1254402"/>
              <a:gd name="connsiteY171" fmla="*/ 70834 h 91439"/>
              <a:gd name="connsiteX172" fmla="*/ 829400 w 1254402"/>
              <a:gd name="connsiteY172" fmla="*/ 54735 h 91439"/>
              <a:gd name="connsiteX173" fmla="*/ 860309 w 1254402"/>
              <a:gd name="connsiteY173" fmla="*/ 37349 h 91439"/>
              <a:gd name="connsiteX174" fmla="*/ 883491 w 1254402"/>
              <a:gd name="connsiteY174" fmla="*/ 41212 h 91439"/>
              <a:gd name="connsiteX175" fmla="*/ 864172 w 1254402"/>
              <a:gd name="connsiteY175" fmla="*/ 30909 h 91439"/>
              <a:gd name="connsiteX176" fmla="*/ 839059 w 1254402"/>
              <a:gd name="connsiteY176" fmla="*/ 34773 h 91439"/>
              <a:gd name="connsiteX177" fmla="*/ 833907 w 1254402"/>
              <a:gd name="connsiteY177" fmla="*/ 23826 h 91439"/>
              <a:gd name="connsiteX178" fmla="*/ 864816 w 1254402"/>
              <a:gd name="connsiteY178" fmla="*/ 18674 h 91439"/>
              <a:gd name="connsiteX179" fmla="*/ 898301 w 1254402"/>
              <a:gd name="connsiteY179" fmla="*/ 44432 h 91439"/>
              <a:gd name="connsiteX180" fmla="*/ 883491 w 1254402"/>
              <a:gd name="connsiteY180" fmla="*/ 50228 h 91439"/>
              <a:gd name="connsiteX181" fmla="*/ 862241 w 1254402"/>
              <a:gd name="connsiteY181" fmla="*/ 47008 h 91439"/>
              <a:gd name="connsiteX182" fmla="*/ 844854 w 1254402"/>
              <a:gd name="connsiteY182" fmla="*/ 54091 h 91439"/>
              <a:gd name="connsiteX183" fmla="*/ 857733 w 1254402"/>
              <a:gd name="connsiteY183" fmla="*/ 59887 h 91439"/>
              <a:gd name="connsiteX184" fmla="*/ 884135 w 1254402"/>
              <a:gd name="connsiteY184" fmla="*/ 54091 h 91439"/>
              <a:gd name="connsiteX185" fmla="*/ 884135 w 1254402"/>
              <a:gd name="connsiteY185" fmla="*/ 50228 h 91439"/>
              <a:gd name="connsiteX186" fmla="*/ 925347 w 1254402"/>
              <a:gd name="connsiteY186" fmla="*/ 644 h 91439"/>
              <a:gd name="connsiteX187" fmla="*/ 925347 w 1254402"/>
              <a:gd name="connsiteY187" fmla="*/ 69546 h 91439"/>
              <a:gd name="connsiteX188" fmla="*/ 910536 w 1254402"/>
              <a:gd name="connsiteY188" fmla="*/ 69546 h 91439"/>
              <a:gd name="connsiteX189" fmla="*/ 910536 w 1254402"/>
              <a:gd name="connsiteY189" fmla="*/ 644 h 91439"/>
              <a:gd name="connsiteX190" fmla="*/ 925347 w 1254402"/>
              <a:gd name="connsiteY190" fmla="*/ 644 h 91439"/>
              <a:gd name="connsiteX191" fmla="*/ 1009704 w 1254402"/>
              <a:gd name="connsiteY191" fmla="*/ 19318 h 91439"/>
              <a:gd name="connsiteX192" fmla="*/ 1030954 w 1254402"/>
              <a:gd name="connsiteY192" fmla="*/ 19318 h 91439"/>
              <a:gd name="connsiteX193" fmla="*/ 1030954 w 1254402"/>
              <a:gd name="connsiteY193" fmla="*/ 31553 h 91439"/>
              <a:gd name="connsiteX194" fmla="*/ 1009704 w 1254402"/>
              <a:gd name="connsiteY194" fmla="*/ 31553 h 91439"/>
              <a:gd name="connsiteX195" fmla="*/ 1009704 w 1254402"/>
              <a:gd name="connsiteY195" fmla="*/ 70190 h 91439"/>
              <a:gd name="connsiteX196" fmla="*/ 994893 w 1254402"/>
              <a:gd name="connsiteY196" fmla="*/ 70190 h 91439"/>
              <a:gd name="connsiteX197" fmla="*/ 994893 w 1254402"/>
              <a:gd name="connsiteY197" fmla="*/ 31553 h 91439"/>
              <a:gd name="connsiteX198" fmla="*/ 981370 w 1254402"/>
              <a:gd name="connsiteY198" fmla="*/ 31553 h 91439"/>
              <a:gd name="connsiteX199" fmla="*/ 981370 w 1254402"/>
              <a:gd name="connsiteY199" fmla="*/ 19318 h 91439"/>
              <a:gd name="connsiteX200" fmla="*/ 994893 w 1254402"/>
              <a:gd name="connsiteY200" fmla="*/ 19318 h 91439"/>
              <a:gd name="connsiteX201" fmla="*/ 994893 w 1254402"/>
              <a:gd name="connsiteY201" fmla="*/ 15455 h 91439"/>
              <a:gd name="connsiteX202" fmla="*/ 1016143 w 1254402"/>
              <a:gd name="connsiteY202" fmla="*/ 0 h 91439"/>
              <a:gd name="connsiteX203" fmla="*/ 1031598 w 1254402"/>
              <a:gd name="connsiteY203" fmla="*/ 644 h 91439"/>
              <a:gd name="connsiteX204" fmla="*/ 1031598 w 1254402"/>
              <a:gd name="connsiteY204" fmla="*/ 10947 h 91439"/>
              <a:gd name="connsiteX205" fmla="*/ 1021295 w 1254402"/>
              <a:gd name="connsiteY205" fmla="*/ 10303 h 91439"/>
              <a:gd name="connsiteX206" fmla="*/ 1009704 w 1254402"/>
              <a:gd name="connsiteY206" fmla="*/ 19318 h 91439"/>
              <a:gd name="connsiteX207" fmla="*/ 1056712 w 1254402"/>
              <a:gd name="connsiteY207" fmla="*/ 644 h 91439"/>
              <a:gd name="connsiteX208" fmla="*/ 1056712 w 1254402"/>
              <a:gd name="connsiteY208" fmla="*/ 69546 h 91439"/>
              <a:gd name="connsiteX209" fmla="*/ 1041901 w 1254402"/>
              <a:gd name="connsiteY209" fmla="*/ 69546 h 91439"/>
              <a:gd name="connsiteX210" fmla="*/ 1041901 w 1254402"/>
              <a:gd name="connsiteY210" fmla="*/ 644 h 91439"/>
              <a:gd name="connsiteX211" fmla="*/ 1056712 w 1254402"/>
              <a:gd name="connsiteY211" fmla="*/ 644 h 91439"/>
              <a:gd name="connsiteX212" fmla="*/ 1067659 w 1254402"/>
              <a:gd name="connsiteY212" fmla="*/ 44432 h 91439"/>
              <a:gd name="connsiteX213" fmla="*/ 1103076 w 1254402"/>
              <a:gd name="connsiteY213" fmla="*/ 18030 h 91439"/>
              <a:gd name="connsiteX214" fmla="*/ 1138493 w 1254402"/>
              <a:gd name="connsiteY214" fmla="*/ 44432 h 91439"/>
              <a:gd name="connsiteX215" fmla="*/ 1103076 w 1254402"/>
              <a:gd name="connsiteY215" fmla="*/ 70834 h 91439"/>
              <a:gd name="connsiteX216" fmla="*/ 1067659 w 1254402"/>
              <a:gd name="connsiteY216" fmla="*/ 44432 h 91439"/>
              <a:gd name="connsiteX217" fmla="*/ 1123038 w 1254402"/>
              <a:gd name="connsiteY217" fmla="*/ 44432 h 91439"/>
              <a:gd name="connsiteX218" fmla="*/ 1102432 w 1254402"/>
              <a:gd name="connsiteY218" fmla="*/ 30265 h 91439"/>
              <a:gd name="connsiteX219" fmla="*/ 1081825 w 1254402"/>
              <a:gd name="connsiteY219" fmla="*/ 44432 h 91439"/>
              <a:gd name="connsiteX220" fmla="*/ 1102432 w 1254402"/>
              <a:gd name="connsiteY220" fmla="*/ 58599 h 91439"/>
              <a:gd name="connsiteX221" fmla="*/ 1123038 w 1254402"/>
              <a:gd name="connsiteY221" fmla="*/ 44432 h 91439"/>
              <a:gd name="connsiteX222" fmla="*/ 1254402 w 1254402"/>
              <a:gd name="connsiteY222" fmla="*/ 19318 h 91439"/>
              <a:gd name="connsiteX223" fmla="*/ 1231864 w 1254402"/>
              <a:gd name="connsiteY223" fmla="*/ 70190 h 91439"/>
              <a:gd name="connsiteX224" fmla="*/ 1211902 w 1254402"/>
              <a:gd name="connsiteY224" fmla="*/ 70190 h 91439"/>
              <a:gd name="connsiteX225" fmla="*/ 1197091 w 1254402"/>
              <a:gd name="connsiteY225" fmla="*/ 34773 h 91439"/>
              <a:gd name="connsiteX226" fmla="*/ 1182281 w 1254402"/>
              <a:gd name="connsiteY226" fmla="*/ 70190 h 91439"/>
              <a:gd name="connsiteX227" fmla="*/ 1162318 w 1254402"/>
              <a:gd name="connsiteY227" fmla="*/ 70190 h 91439"/>
              <a:gd name="connsiteX228" fmla="*/ 1139780 w 1254402"/>
              <a:gd name="connsiteY228" fmla="*/ 19318 h 91439"/>
              <a:gd name="connsiteX229" fmla="*/ 1156523 w 1254402"/>
              <a:gd name="connsiteY229" fmla="*/ 19318 h 91439"/>
              <a:gd name="connsiteX230" fmla="*/ 1173265 w 1254402"/>
              <a:gd name="connsiteY230" fmla="*/ 58599 h 91439"/>
              <a:gd name="connsiteX231" fmla="*/ 1188720 w 1254402"/>
              <a:gd name="connsiteY231" fmla="*/ 19318 h 91439"/>
              <a:gd name="connsiteX232" fmla="*/ 1206107 w 1254402"/>
              <a:gd name="connsiteY232" fmla="*/ 19318 h 91439"/>
              <a:gd name="connsiteX233" fmla="*/ 1221561 w 1254402"/>
              <a:gd name="connsiteY233" fmla="*/ 57955 h 91439"/>
              <a:gd name="connsiteX234" fmla="*/ 1238304 w 1254402"/>
              <a:gd name="connsiteY234" fmla="*/ 18674 h 91439"/>
              <a:gd name="connsiteX235" fmla="*/ 1254402 w 1254402"/>
              <a:gd name="connsiteY235" fmla="*/ 18674 h 914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</a:cxnLst>
            <a:rect l="l" t="t" r="r" b="b"/>
            <a:pathLst>
              <a:path w="1254402" h="91439">
                <a:moveTo>
                  <a:pt x="70834" y="31553"/>
                </a:moveTo>
                <a:cubicBezTo>
                  <a:pt x="70834" y="45076"/>
                  <a:pt x="61175" y="53447"/>
                  <a:pt x="47652" y="53447"/>
                </a:cubicBezTo>
                <a:lnTo>
                  <a:pt x="15455" y="53447"/>
                </a:lnTo>
                <a:lnTo>
                  <a:pt x="15455" y="69546"/>
                </a:lnTo>
                <a:lnTo>
                  <a:pt x="0" y="69546"/>
                </a:lnTo>
                <a:lnTo>
                  <a:pt x="0" y="9015"/>
                </a:lnTo>
                <a:lnTo>
                  <a:pt x="47652" y="9015"/>
                </a:lnTo>
                <a:cubicBezTo>
                  <a:pt x="61175" y="9659"/>
                  <a:pt x="70834" y="18030"/>
                  <a:pt x="70834" y="31553"/>
                </a:cubicBezTo>
                <a:close/>
                <a:moveTo>
                  <a:pt x="55379" y="31553"/>
                </a:moveTo>
                <a:cubicBezTo>
                  <a:pt x="55379" y="22538"/>
                  <a:pt x="48296" y="22538"/>
                  <a:pt x="43788" y="22538"/>
                </a:cubicBezTo>
                <a:lnTo>
                  <a:pt x="16099" y="22538"/>
                </a:lnTo>
                <a:lnTo>
                  <a:pt x="16099" y="40568"/>
                </a:lnTo>
                <a:lnTo>
                  <a:pt x="43144" y="40568"/>
                </a:lnTo>
                <a:cubicBezTo>
                  <a:pt x="48296" y="40568"/>
                  <a:pt x="55379" y="40568"/>
                  <a:pt x="55379" y="31553"/>
                </a:cubicBezTo>
                <a:close/>
                <a:moveTo>
                  <a:pt x="79849" y="44432"/>
                </a:moveTo>
                <a:cubicBezTo>
                  <a:pt x="79849" y="25758"/>
                  <a:pt x="94016" y="18030"/>
                  <a:pt x="115266" y="18030"/>
                </a:cubicBezTo>
                <a:cubicBezTo>
                  <a:pt x="136516" y="18030"/>
                  <a:pt x="150683" y="25758"/>
                  <a:pt x="150683" y="44432"/>
                </a:cubicBezTo>
                <a:cubicBezTo>
                  <a:pt x="150683" y="63106"/>
                  <a:pt x="136516" y="70834"/>
                  <a:pt x="115266" y="70834"/>
                </a:cubicBezTo>
                <a:cubicBezTo>
                  <a:pt x="94016" y="70834"/>
                  <a:pt x="79849" y="63106"/>
                  <a:pt x="79849" y="44432"/>
                </a:cubicBezTo>
                <a:close/>
                <a:moveTo>
                  <a:pt x="135228" y="44432"/>
                </a:moveTo>
                <a:cubicBezTo>
                  <a:pt x="135228" y="34129"/>
                  <a:pt x="128789" y="30265"/>
                  <a:pt x="114622" y="30265"/>
                </a:cubicBezTo>
                <a:cubicBezTo>
                  <a:pt x="101099" y="30265"/>
                  <a:pt x="94016" y="33485"/>
                  <a:pt x="94016" y="44432"/>
                </a:cubicBezTo>
                <a:cubicBezTo>
                  <a:pt x="94016" y="54735"/>
                  <a:pt x="100455" y="58599"/>
                  <a:pt x="114622" y="58599"/>
                </a:cubicBezTo>
                <a:cubicBezTo>
                  <a:pt x="128789" y="58599"/>
                  <a:pt x="135228" y="54735"/>
                  <a:pt x="135228" y="44432"/>
                </a:cubicBezTo>
                <a:close/>
                <a:moveTo>
                  <a:pt x="173221" y="52159"/>
                </a:moveTo>
                <a:cubicBezTo>
                  <a:pt x="173221" y="57311"/>
                  <a:pt x="179016" y="59887"/>
                  <a:pt x="195115" y="59887"/>
                </a:cubicBezTo>
                <a:cubicBezTo>
                  <a:pt x="211214" y="59887"/>
                  <a:pt x="213789" y="58599"/>
                  <a:pt x="213789" y="54735"/>
                </a:cubicBezTo>
                <a:cubicBezTo>
                  <a:pt x="213789" y="50872"/>
                  <a:pt x="211214" y="50872"/>
                  <a:pt x="193827" y="49584"/>
                </a:cubicBezTo>
                <a:cubicBezTo>
                  <a:pt x="171289" y="48296"/>
                  <a:pt x="160342" y="46364"/>
                  <a:pt x="160342" y="34129"/>
                </a:cubicBezTo>
                <a:cubicBezTo>
                  <a:pt x="160342" y="20606"/>
                  <a:pt x="175797" y="18674"/>
                  <a:pt x="193827" y="18674"/>
                </a:cubicBezTo>
                <a:cubicBezTo>
                  <a:pt x="213145" y="18674"/>
                  <a:pt x="226668" y="21250"/>
                  <a:pt x="226668" y="35417"/>
                </a:cubicBezTo>
                <a:lnTo>
                  <a:pt x="211857" y="35417"/>
                </a:lnTo>
                <a:cubicBezTo>
                  <a:pt x="211857" y="30909"/>
                  <a:pt x="206706" y="30265"/>
                  <a:pt x="192539" y="30265"/>
                </a:cubicBezTo>
                <a:cubicBezTo>
                  <a:pt x="178372" y="30265"/>
                  <a:pt x="174509" y="31553"/>
                  <a:pt x="174509" y="34129"/>
                </a:cubicBezTo>
                <a:cubicBezTo>
                  <a:pt x="174509" y="37349"/>
                  <a:pt x="177085" y="37993"/>
                  <a:pt x="194471" y="39281"/>
                </a:cubicBezTo>
                <a:cubicBezTo>
                  <a:pt x="214433" y="40568"/>
                  <a:pt x="227956" y="41212"/>
                  <a:pt x="227956" y="54735"/>
                </a:cubicBezTo>
                <a:cubicBezTo>
                  <a:pt x="227956" y="68902"/>
                  <a:pt x="215077" y="71478"/>
                  <a:pt x="195759" y="71478"/>
                </a:cubicBezTo>
                <a:cubicBezTo>
                  <a:pt x="176441" y="71478"/>
                  <a:pt x="158410" y="68902"/>
                  <a:pt x="158410" y="52803"/>
                </a:cubicBezTo>
                <a:lnTo>
                  <a:pt x="173221" y="52803"/>
                </a:lnTo>
                <a:close/>
                <a:moveTo>
                  <a:pt x="254358" y="644"/>
                </a:moveTo>
                <a:lnTo>
                  <a:pt x="254358" y="13523"/>
                </a:lnTo>
                <a:lnTo>
                  <a:pt x="239547" y="13523"/>
                </a:lnTo>
                <a:lnTo>
                  <a:pt x="239547" y="644"/>
                </a:lnTo>
                <a:lnTo>
                  <a:pt x="254358" y="644"/>
                </a:lnTo>
                <a:close/>
                <a:moveTo>
                  <a:pt x="254358" y="19318"/>
                </a:moveTo>
                <a:lnTo>
                  <a:pt x="254358" y="70190"/>
                </a:lnTo>
                <a:lnTo>
                  <a:pt x="239547" y="70190"/>
                </a:lnTo>
                <a:lnTo>
                  <a:pt x="239547" y="19318"/>
                </a:lnTo>
                <a:lnTo>
                  <a:pt x="254358" y="19318"/>
                </a:lnTo>
                <a:close/>
                <a:moveTo>
                  <a:pt x="292994" y="31553"/>
                </a:moveTo>
                <a:lnTo>
                  <a:pt x="292994" y="46364"/>
                </a:lnTo>
                <a:cubicBezTo>
                  <a:pt x="292994" y="56023"/>
                  <a:pt x="294926" y="58599"/>
                  <a:pt x="303941" y="58599"/>
                </a:cubicBezTo>
                <a:cubicBezTo>
                  <a:pt x="308449" y="58599"/>
                  <a:pt x="311025" y="58599"/>
                  <a:pt x="316820" y="57955"/>
                </a:cubicBezTo>
                <a:lnTo>
                  <a:pt x="316820" y="69546"/>
                </a:lnTo>
                <a:cubicBezTo>
                  <a:pt x="311669" y="70190"/>
                  <a:pt x="306517" y="70834"/>
                  <a:pt x="299434" y="70834"/>
                </a:cubicBezTo>
                <a:cubicBezTo>
                  <a:pt x="286555" y="70834"/>
                  <a:pt x="278184" y="65682"/>
                  <a:pt x="278184" y="54735"/>
                </a:cubicBezTo>
                <a:lnTo>
                  <a:pt x="278184" y="31553"/>
                </a:lnTo>
                <a:lnTo>
                  <a:pt x="264661" y="31553"/>
                </a:lnTo>
                <a:lnTo>
                  <a:pt x="264661" y="19318"/>
                </a:lnTo>
                <a:lnTo>
                  <a:pt x="278184" y="19318"/>
                </a:lnTo>
                <a:lnTo>
                  <a:pt x="278184" y="9015"/>
                </a:lnTo>
                <a:lnTo>
                  <a:pt x="292994" y="4508"/>
                </a:lnTo>
                <a:lnTo>
                  <a:pt x="292994" y="19318"/>
                </a:lnTo>
                <a:lnTo>
                  <a:pt x="316820" y="19318"/>
                </a:lnTo>
                <a:lnTo>
                  <a:pt x="316820" y="31553"/>
                </a:lnTo>
                <a:lnTo>
                  <a:pt x="292994" y="31553"/>
                </a:lnTo>
                <a:close/>
                <a:moveTo>
                  <a:pt x="342578" y="644"/>
                </a:moveTo>
                <a:lnTo>
                  <a:pt x="342578" y="13523"/>
                </a:lnTo>
                <a:lnTo>
                  <a:pt x="327767" y="13523"/>
                </a:lnTo>
                <a:lnTo>
                  <a:pt x="327767" y="644"/>
                </a:lnTo>
                <a:lnTo>
                  <a:pt x="342578" y="644"/>
                </a:lnTo>
                <a:close/>
                <a:moveTo>
                  <a:pt x="342578" y="19318"/>
                </a:moveTo>
                <a:lnTo>
                  <a:pt x="342578" y="70190"/>
                </a:lnTo>
                <a:lnTo>
                  <a:pt x="327767" y="70190"/>
                </a:lnTo>
                <a:lnTo>
                  <a:pt x="327767" y="19318"/>
                </a:lnTo>
                <a:lnTo>
                  <a:pt x="342578" y="19318"/>
                </a:lnTo>
                <a:close/>
                <a:moveTo>
                  <a:pt x="424359" y="19318"/>
                </a:moveTo>
                <a:lnTo>
                  <a:pt x="398601" y="70190"/>
                </a:lnTo>
                <a:lnTo>
                  <a:pt x="377995" y="70190"/>
                </a:lnTo>
                <a:lnTo>
                  <a:pt x="352237" y="19318"/>
                </a:lnTo>
                <a:lnTo>
                  <a:pt x="368336" y="19318"/>
                </a:lnTo>
                <a:lnTo>
                  <a:pt x="388298" y="59887"/>
                </a:lnTo>
                <a:lnTo>
                  <a:pt x="408260" y="19318"/>
                </a:lnTo>
                <a:lnTo>
                  <a:pt x="424359" y="19318"/>
                </a:lnTo>
                <a:close/>
                <a:moveTo>
                  <a:pt x="481670" y="51515"/>
                </a:moveTo>
                <a:lnTo>
                  <a:pt x="496481" y="51515"/>
                </a:lnTo>
                <a:cubicBezTo>
                  <a:pt x="493261" y="64394"/>
                  <a:pt x="480382" y="70834"/>
                  <a:pt x="461708" y="70834"/>
                </a:cubicBezTo>
                <a:cubicBezTo>
                  <a:pt x="442389" y="70834"/>
                  <a:pt x="427579" y="63106"/>
                  <a:pt x="427579" y="44432"/>
                </a:cubicBezTo>
                <a:cubicBezTo>
                  <a:pt x="427579" y="25758"/>
                  <a:pt x="442389" y="18030"/>
                  <a:pt x="462995" y="18030"/>
                </a:cubicBezTo>
                <a:cubicBezTo>
                  <a:pt x="482314" y="18030"/>
                  <a:pt x="497768" y="24470"/>
                  <a:pt x="497768" y="47652"/>
                </a:cubicBezTo>
                <a:lnTo>
                  <a:pt x="442389" y="47652"/>
                </a:lnTo>
                <a:cubicBezTo>
                  <a:pt x="444321" y="56023"/>
                  <a:pt x="452048" y="58599"/>
                  <a:pt x="461708" y="58599"/>
                </a:cubicBezTo>
                <a:cubicBezTo>
                  <a:pt x="471367" y="58599"/>
                  <a:pt x="477806" y="56667"/>
                  <a:pt x="481670" y="51515"/>
                </a:cubicBezTo>
                <a:close/>
                <a:moveTo>
                  <a:pt x="442389" y="38637"/>
                </a:moveTo>
                <a:lnTo>
                  <a:pt x="481026" y="38637"/>
                </a:lnTo>
                <a:cubicBezTo>
                  <a:pt x="478450" y="31553"/>
                  <a:pt x="471367" y="29621"/>
                  <a:pt x="461708" y="29621"/>
                </a:cubicBezTo>
                <a:cubicBezTo>
                  <a:pt x="452048" y="29621"/>
                  <a:pt x="444965" y="31553"/>
                  <a:pt x="442389" y="38637"/>
                </a:cubicBezTo>
                <a:close/>
                <a:moveTo>
                  <a:pt x="622694" y="644"/>
                </a:moveTo>
                <a:lnTo>
                  <a:pt x="622694" y="69546"/>
                </a:lnTo>
                <a:lnTo>
                  <a:pt x="607883" y="69546"/>
                </a:lnTo>
                <a:lnTo>
                  <a:pt x="607883" y="61819"/>
                </a:lnTo>
                <a:cubicBezTo>
                  <a:pt x="602087" y="67614"/>
                  <a:pt x="593716" y="70834"/>
                  <a:pt x="582769" y="70834"/>
                </a:cubicBezTo>
                <a:cubicBezTo>
                  <a:pt x="566670" y="70834"/>
                  <a:pt x="552504" y="63750"/>
                  <a:pt x="552504" y="44432"/>
                </a:cubicBezTo>
                <a:cubicBezTo>
                  <a:pt x="552504" y="25114"/>
                  <a:pt x="566670" y="18030"/>
                  <a:pt x="582769" y="18030"/>
                </a:cubicBezTo>
                <a:cubicBezTo>
                  <a:pt x="593716" y="18030"/>
                  <a:pt x="602731" y="21250"/>
                  <a:pt x="607883" y="27046"/>
                </a:cubicBezTo>
                <a:lnTo>
                  <a:pt x="607883" y="644"/>
                </a:lnTo>
                <a:lnTo>
                  <a:pt x="622694" y="644"/>
                </a:lnTo>
                <a:close/>
                <a:moveTo>
                  <a:pt x="607883" y="44432"/>
                </a:moveTo>
                <a:cubicBezTo>
                  <a:pt x="607883" y="34129"/>
                  <a:pt x="600800" y="30265"/>
                  <a:pt x="587277" y="30265"/>
                </a:cubicBezTo>
                <a:cubicBezTo>
                  <a:pt x="574398" y="30265"/>
                  <a:pt x="566670" y="34129"/>
                  <a:pt x="566670" y="44432"/>
                </a:cubicBezTo>
                <a:cubicBezTo>
                  <a:pt x="566670" y="54735"/>
                  <a:pt x="573754" y="58599"/>
                  <a:pt x="587277" y="58599"/>
                </a:cubicBezTo>
                <a:cubicBezTo>
                  <a:pt x="600800" y="58599"/>
                  <a:pt x="607883" y="54735"/>
                  <a:pt x="607883" y="44432"/>
                </a:cubicBezTo>
                <a:close/>
                <a:moveTo>
                  <a:pt x="649739" y="644"/>
                </a:moveTo>
                <a:lnTo>
                  <a:pt x="649739" y="13523"/>
                </a:lnTo>
                <a:lnTo>
                  <a:pt x="634928" y="13523"/>
                </a:lnTo>
                <a:lnTo>
                  <a:pt x="634928" y="644"/>
                </a:lnTo>
                <a:lnTo>
                  <a:pt x="649739" y="644"/>
                </a:lnTo>
                <a:close/>
                <a:moveTo>
                  <a:pt x="649739" y="19318"/>
                </a:moveTo>
                <a:lnTo>
                  <a:pt x="649739" y="70190"/>
                </a:lnTo>
                <a:lnTo>
                  <a:pt x="634928" y="70190"/>
                </a:lnTo>
                <a:lnTo>
                  <a:pt x="634928" y="19318"/>
                </a:lnTo>
                <a:lnTo>
                  <a:pt x="649739" y="19318"/>
                </a:lnTo>
                <a:close/>
                <a:moveTo>
                  <a:pt x="730876" y="19318"/>
                </a:moveTo>
                <a:lnTo>
                  <a:pt x="730876" y="61819"/>
                </a:lnTo>
                <a:cubicBezTo>
                  <a:pt x="730876" y="82425"/>
                  <a:pt x="716709" y="91440"/>
                  <a:pt x="698035" y="91440"/>
                </a:cubicBezTo>
                <a:cubicBezTo>
                  <a:pt x="683224" y="91440"/>
                  <a:pt x="670989" y="88864"/>
                  <a:pt x="666482" y="87576"/>
                </a:cubicBezTo>
                <a:lnTo>
                  <a:pt x="666482" y="75985"/>
                </a:lnTo>
                <a:cubicBezTo>
                  <a:pt x="672277" y="77273"/>
                  <a:pt x="683868" y="79849"/>
                  <a:pt x="694815" y="79849"/>
                </a:cubicBezTo>
                <a:cubicBezTo>
                  <a:pt x="710270" y="79849"/>
                  <a:pt x="716065" y="74053"/>
                  <a:pt x="716065" y="61175"/>
                </a:cubicBezTo>
                <a:cubicBezTo>
                  <a:pt x="710914" y="66970"/>
                  <a:pt x="702543" y="70190"/>
                  <a:pt x="690308" y="70190"/>
                </a:cubicBezTo>
                <a:cubicBezTo>
                  <a:pt x="672921" y="70190"/>
                  <a:pt x="660686" y="62463"/>
                  <a:pt x="660686" y="44432"/>
                </a:cubicBezTo>
                <a:cubicBezTo>
                  <a:pt x="660686" y="26402"/>
                  <a:pt x="672921" y="18674"/>
                  <a:pt x="690308" y="18674"/>
                </a:cubicBezTo>
                <a:cubicBezTo>
                  <a:pt x="702543" y="18674"/>
                  <a:pt x="710914" y="21894"/>
                  <a:pt x="716065" y="27690"/>
                </a:cubicBezTo>
                <a:lnTo>
                  <a:pt x="716065" y="19318"/>
                </a:lnTo>
                <a:lnTo>
                  <a:pt x="730876" y="19318"/>
                </a:lnTo>
                <a:close/>
                <a:moveTo>
                  <a:pt x="715421" y="43788"/>
                </a:moveTo>
                <a:cubicBezTo>
                  <a:pt x="715421" y="34773"/>
                  <a:pt x="708982" y="30909"/>
                  <a:pt x="694815" y="30909"/>
                </a:cubicBezTo>
                <a:cubicBezTo>
                  <a:pt x="680648" y="30909"/>
                  <a:pt x="674209" y="34773"/>
                  <a:pt x="674209" y="43788"/>
                </a:cubicBezTo>
                <a:cubicBezTo>
                  <a:pt x="674209" y="52803"/>
                  <a:pt x="680648" y="56667"/>
                  <a:pt x="694815" y="56667"/>
                </a:cubicBezTo>
                <a:cubicBezTo>
                  <a:pt x="708982" y="56667"/>
                  <a:pt x="715421" y="52803"/>
                  <a:pt x="715421" y="43788"/>
                </a:cubicBezTo>
                <a:close/>
                <a:moveTo>
                  <a:pt x="757278" y="644"/>
                </a:moveTo>
                <a:lnTo>
                  <a:pt x="757278" y="13523"/>
                </a:lnTo>
                <a:lnTo>
                  <a:pt x="742467" y="13523"/>
                </a:lnTo>
                <a:lnTo>
                  <a:pt x="742467" y="644"/>
                </a:lnTo>
                <a:lnTo>
                  <a:pt x="757278" y="644"/>
                </a:lnTo>
                <a:close/>
                <a:moveTo>
                  <a:pt x="757278" y="19318"/>
                </a:moveTo>
                <a:lnTo>
                  <a:pt x="757278" y="70190"/>
                </a:lnTo>
                <a:lnTo>
                  <a:pt x="742467" y="70190"/>
                </a:lnTo>
                <a:lnTo>
                  <a:pt x="742467" y="19318"/>
                </a:lnTo>
                <a:lnTo>
                  <a:pt x="757278" y="19318"/>
                </a:lnTo>
                <a:close/>
                <a:moveTo>
                  <a:pt x="795914" y="31553"/>
                </a:moveTo>
                <a:lnTo>
                  <a:pt x="795914" y="46364"/>
                </a:lnTo>
                <a:cubicBezTo>
                  <a:pt x="795914" y="56023"/>
                  <a:pt x="797846" y="58599"/>
                  <a:pt x="806861" y="58599"/>
                </a:cubicBezTo>
                <a:cubicBezTo>
                  <a:pt x="811369" y="58599"/>
                  <a:pt x="813945" y="58599"/>
                  <a:pt x="819740" y="57955"/>
                </a:cubicBezTo>
                <a:lnTo>
                  <a:pt x="819740" y="69546"/>
                </a:lnTo>
                <a:cubicBezTo>
                  <a:pt x="814589" y="70190"/>
                  <a:pt x="809437" y="70834"/>
                  <a:pt x="802354" y="70834"/>
                </a:cubicBezTo>
                <a:cubicBezTo>
                  <a:pt x="789475" y="70834"/>
                  <a:pt x="781104" y="65682"/>
                  <a:pt x="781104" y="54735"/>
                </a:cubicBezTo>
                <a:lnTo>
                  <a:pt x="781104" y="31553"/>
                </a:lnTo>
                <a:lnTo>
                  <a:pt x="767581" y="31553"/>
                </a:lnTo>
                <a:lnTo>
                  <a:pt x="767581" y="19318"/>
                </a:lnTo>
                <a:lnTo>
                  <a:pt x="781104" y="19318"/>
                </a:lnTo>
                <a:lnTo>
                  <a:pt x="781104" y="9015"/>
                </a:lnTo>
                <a:lnTo>
                  <a:pt x="795914" y="4508"/>
                </a:lnTo>
                <a:lnTo>
                  <a:pt x="795914" y="19318"/>
                </a:lnTo>
                <a:lnTo>
                  <a:pt x="819740" y="19318"/>
                </a:lnTo>
                <a:lnTo>
                  <a:pt x="819740" y="31553"/>
                </a:lnTo>
                <a:lnTo>
                  <a:pt x="795914" y="31553"/>
                </a:lnTo>
                <a:close/>
                <a:moveTo>
                  <a:pt x="898301" y="44432"/>
                </a:moveTo>
                <a:lnTo>
                  <a:pt x="898301" y="70190"/>
                </a:lnTo>
                <a:lnTo>
                  <a:pt x="883491" y="70190"/>
                </a:lnTo>
                <a:lnTo>
                  <a:pt x="883491" y="63750"/>
                </a:lnTo>
                <a:cubicBezTo>
                  <a:pt x="874476" y="68258"/>
                  <a:pt x="864816" y="70834"/>
                  <a:pt x="852581" y="70834"/>
                </a:cubicBezTo>
                <a:cubicBezTo>
                  <a:pt x="838415" y="70834"/>
                  <a:pt x="829400" y="66326"/>
                  <a:pt x="829400" y="54735"/>
                </a:cubicBezTo>
                <a:cubicBezTo>
                  <a:pt x="829400" y="41856"/>
                  <a:pt x="843566" y="37349"/>
                  <a:pt x="860309" y="37349"/>
                </a:cubicBezTo>
                <a:cubicBezTo>
                  <a:pt x="869324" y="37349"/>
                  <a:pt x="877051" y="38637"/>
                  <a:pt x="883491" y="41212"/>
                </a:cubicBezTo>
                <a:cubicBezTo>
                  <a:pt x="883491" y="31553"/>
                  <a:pt x="871256" y="30909"/>
                  <a:pt x="864172" y="30909"/>
                </a:cubicBezTo>
                <a:cubicBezTo>
                  <a:pt x="857733" y="30909"/>
                  <a:pt x="849362" y="31553"/>
                  <a:pt x="839059" y="34773"/>
                </a:cubicBezTo>
                <a:lnTo>
                  <a:pt x="833907" y="23826"/>
                </a:lnTo>
                <a:cubicBezTo>
                  <a:pt x="844210" y="20606"/>
                  <a:pt x="854513" y="18674"/>
                  <a:pt x="864816" y="18674"/>
                </a:cubicBezTo>
                <a:cubicBezTo>
                  <a:pt x="886066" y="18030"/>
                  <a:pt x="898301" y="25114"/>
                  <a:pt x="898301" y="44432"/>
                </a:cubicBezTo>
                <a:close/>
                <a:moveTo>
                  <a:pt x="883491" y="50228"/>
                </a:moveTo>
                <a:cubicBezTo>
                  <a:pt x="878339" y="48296"/>
                  <a:pt x="871256" y="47008"/>
                  <a:pt x="862241" y="47008"/>
                </a:cubicBezTo>
                <a:cubicBezTo>
                  <a:pt x="851294" y="47008"/>
                  <a:pt x="844854" y="48940"/>
                  <a:pt x="844854" y="54091"/>
                </a:cubicBezTo>
                <a:cubicBezTo>
                  <a:pt x="844854" y="59243"/>
                  <a:pt x="850006" y="59887"/>
                  <a:pt x="857733" y="59887"/>
                </a:cubicBezTo>
                <a:cubicBezTo>
                  <a:pt x="865460" y="59887"/>
                  <a:pt x="877051" y="57311"/>
                  <a:pt x="884135" y="54091"/>
                </a:cubicBezTo>
                <a:lnTo>
                  <a:pt x="884135" y="50228"/>
                </a:lnTo>
                <a:close/>
                <a:moveTo>
                  <a:pt x="925347" y="644"/>
                </a:moveTo>
                <a:lnTo>
                  <a:pt x="925347" y="69546"/>
                </a:lnTo>
                <a:lnTo>
                  <a:pt x="910536" y="69546"/>
                </a:lnTo>
                <a:lnTo>
                  <a:pt x="910536" y="644"/>
                </a:lnTo>
                <a:lnTo>
                  <a:pt x="925347" y="644"/>
                </a:lnTo>
                <a:close/>
                <a:moveTo>
                  <a:pt x="1009704" y="19318"/>
                </a:moveTo>
                <a:lnTo>
                  <a:pt x="1030954" y="19318"/>
                </a:lnTo>
                <a:lnTo>
                  <a:pt x="1030954" y="31553"/>
                </a:lnTo>
                <a:lnTo>
                  <a:pt x="1009704" y="31553"/>
                </a:lnTo>
                <a:lnTo>
                  <a:pt x="1009704" y="70190"/>
                </a:lnTo>
                <a:lnTo>
                  <a:pt x="994893" y="70190"/>
                </a:lnTo>
                <a:lnTo>
                  <a:pt x="994893" y="31553"/>
                </a:lnTo>
                <a:lnTo>
                  <a:pt x="981370" y="31553"/>
                </a:lnTo>
                <a:lnTo>
                  <a:pt x="981370" y="19318"/>
                </a:lnTo>
                <a:lnTo>
                  <a:pt x="994893" y="19318"/>
                </a:lnTo>
                <a:lnTo>
                  <a:pt x="994893" y="15455"/>
                </a:lnTo>
                <a:cubicBezTo>
                  <a:pt x="994893" y="5152"/>
                  <a:pt x="1001332" y="0"/>
                  <a:pt x="1016143" y="0"/>
                </a:cubicBezTo>
                <a:cubicBezTo>
                  <a:pt x="1021295" y="0"/>
                  <a:pt x="1023870" y="0"/>
                  <a:pt x="1031598" y="644"/>
                </a:cubicBezTo>
                <a:lnTo>
                  <a:pt x="1031598" y="10947"/>
                </a:lnTo>
                <a:cubicBezTo>
                  <a:pt x="1028378" y="10947"/>
                  <a:pt x="1024514" y="10303"/>
                  <a:pt x="1021295" y="10303"/>
                </a:cubicBezTo>
                <a:cubicBezTo>
                  <a:pt x="1012279" y="10947"/>
                  <a:pt x="1009704" y="12879"/>
                  <a:pt x="1009704" y="19318"/>
                </a:cubicBezTo>
                <a:close/>
                <a:moveTo>
                  <a:pt x="1056712" y="644"/>
                </a:moveTo>
                <a:lnTo>
                  <a:pt x="1056712" y="69546"/>
                </a:lnTo>
                <a:lnTo>
                  <a:pt x="1041901" y="69546"/>
                </a:lnTo>
                <a:lnTo>
                  <a:pt x="1041901" y="644"/>
                </a:lnTo>
                <a:lnTo>
                  <a:pt x="1056712" y="644"/>
                </a:lnTo>
                <a:close/>
                <a:moveTo>
                  <a:pt x="1067659" y="44432"/>
                </a:moveTo>
                <a:cubicBezTo>
                  <a:pt x="1067659" y="25758"/>
                  <a:pt x="1081825" y="18030"/>
                  <a:pt x="1103076" y="18030"/>
                </a:cubicBezTo>
                <a:cubicBezTo>
                  <a:pt x="1124326" y="18030"/>
                  <a:pt x="1138493" y="25758"/>
                  <a:pt x="1138493" y="44432"/>
                </a:cubicBezTo>
                <a:cubicBezTo>
                  <a:pt x="1138493" y="63106"/>
                  <a:pt x="1124326" y="70834"/>
                  <a:pt x="1103076" y="70834"/>
                </a:cubicBezTo>
                <a:cubicBezTo>
                  <a:pt x="1081825" y="70834"/>
                  <a:pt x="1067659" y="63106"/>
                  <a:pt x="1067659" y="44432"/>
                </a:cubicBezTo>
                <a:close/>
                <a:moveTo>
                  <a:pt x="1123038" y="44432"/>
                </a:moveTo>
                <a:cubicBezTo>
                  <a:pt x="1123038" y="34129"/>
                  <a:pt x="1116598" y="30265"/>
                  <a:pt x="1102432" y="30265"/>
                </a:cubicBezTo>
                <a:cubicBezTo>
                  <a:pt x="1088909" y="30265"/>
                  <a:pt x="1081825" y="33485"/>
                  <a:pt x="1081825" y="44432"/>
                </a:cubicBezTo>
                <a:cubicBezTo>
                  <a:pt x="1081825" y="54735"/>
                  <a:pt x="1088265" y="58599"/>
                  <a:pt x="1102432" y="58599"/>
                </a:cubicBezTo>
                <a:cubicBezTo>
                  <a:pt x="1115954" y="58599"/>
                  <a:pt x="1123038" y="54735"/>
                  <a:pt x="1123038" y="44432"/>
                </a:cubicBezTo>
                <a:close/>
                <a:moveTo>
                  <a:pt x="1254402" y="19318"/>
                </a:moveTo>
                <a:lnTo>
                  <a:pt x="1231864" y="70190"/>
                </a:lnTo>
                <a:lnTo>
                  <a:pt x="1211902" y="70190"/>
                </a:lnTo>
                <a:lnTo>
                  <a:pt x="1197091" y="34773"/>
                </a:lnTo>
                <a:lnTo>
                  <a:pt x="1182281" y="70190"/>
                </a:lnTo>
                <a:lnTo>
                  <a:pt x="1162318" y="70190"/>
                </a:lnTo>
                <a:lnTo>
                  <a:pt x="1139780" y="19318"/>
                </a:lnTo>
                <a:lnTo>
                  <a:pt x="1156523" y="19318"/>
                </a:lnTo>
                <a:lnTo>
                  <a:pt x="1173265" y="58599"/>
                </a:lnTo>
                <a:lnTo>
                  <a:pt x="1188720" y="19318"/>
                </a:lnTo>
                <a:lnTo>
                  <a:pt x="1206107" y="19318"/>
                </a:lnTo>
                <a:lnTo>
                  <a:pt x="1221561" y="57955"/>
                </a:lnTo>
                <a:lnTo>
                  <a:pt x="1238304" y="18674"/>
                </a:lnTo>
                <a:lnTo>
                  <a:pt x="1254402" y="18674"/>
                </a:lnTo>
                <a:close/>
              </a:path>
            </a:pathLst>
          </a:custGeom>
          <a:solidFill>
            <a:srgbClr val="00AA9B"/>
          </a:solidFill>
          <a:ln w="6439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grpSp>
        <xdr:nvGrpSpPr>
          <xdr:cNvPr id="4" name="Graphique 9">
            <a:extLst>
              <a:ext uri="{FF2B5EF4-FFF2-40B4-BE49-F238E27FC236}">
                <a16:creationId xmlns:a16="http://schemas.microsoft.com/office/drawing/2014/main" id="{7EDD30DE-59A7-47D0-8253-4724DB5A21CF}"/>
              </a:ext>
            </a:extLst>
          </xdr:cNvPr>
          <xdr:cNvGrpSpPr/>
        </xdr:nvGrpSpPr>
        <xdr:grpSpPr>
          <a:xfrm>
            <a:off x="13512800" y="647260"/>
            <a:ext cx="1824935" cy="273031"/>
            <a:chOff x="13512800" y="647260"/>
            <a:chExt cx="1824935" cy="273031"/>
          </a:xfrm>
        </xdr:grpSpPr>
        <xdr:sp macro="" textlink="">
          <xdr:nvSpPr>
            <xdr:cNvPr id="5" name="Forme libre : forme 19">
              <a:extLst>
                <a:ext uri="{FF2B5EF4-FFF2-40B4-BE49-F238E27FC236}">
                  <a16:creationId xmlns:a16="http://schemas.microsoft.com/office/drawing/2014/main" id="{56B4EA30-D25D-45FF-8A00-AE3EC5A3E50C}"/>
                </a:ext>
              </a:extLst>
            </xdr:cNvPr>
            <xdr:cNvSpPr/>
          </xdr:nvSpPr>
          <xdr:spPr>
            <a:xfrm>
              <a:off x="13512800" y="647260"/>
              <a:ext cx="1533229" cy="273031"/>
            </a:xfrm>
            <a:custGeom>
              <a:avLst/>
              <a:gdLst>
                <a:gd name="connsiteX0" fmla="*/ 358677 w 1533229"/>
                <a:gd name="connsiteY0" fmla="*/ 169357 h 273031"/>
                <a:gd name="connsiteX1" fmla="*/ 358677 w 1533229"/>
                <a:gd name="connsiteY1" fmla="*/ 269168 h 273031"/>
                <a:gd name="connsiteX2" fmla="*/ 285267 w 1533229"/>
                <a:gd name="connsiteY2" fmla="*/ 269168 h 273031"/>
                <a:gd name="connsiteX3" fmla="*/ 285267 w 1533229"/>
                <a:gd name="connsiteY3" fmla="*/ 198978 h 273031"/>
                <a:gd name="connsiteX4" fmla="*/ 242123 w 1533229"/>
                <a:gd name="connsiteY4" fmla="*/ 154546 h 273031"/>
                <a:gd name="connsiteX5" fmla="*/ 183524 w 1533229"/>
                <a:gd name="connsiteY5" fmla="*/ 177728 h 273031"/>
                <a:gd name="connsiteX6" fmla="*/ 183524 w 1533229"/>
                <a:gd name="connsiteY6" fmla="*/ 269812 h 273031"/>
                <a:gd name="connsiteX7" fmla="*/ 110758 w 1533229"/>
                <a:gd name="connsiteY7" fmla="*/ 269812 h 273031"/>
                <a:gd name="connsiteX8" fmla="*/ 110758 w 1533229"/>
                <a:gd name="connsiteY8" fmla="*/ 92084 h 273031"/>
                <a:gd name="connsiteX9" fmla="*/ 183524 w 1533229"/>
                <a:gd name="connsiteY9" fmla="*/ 92084 h 273031"/>
                <a:gd name="connsiteX10" fmla="*/ 183524 w 1533229"/>
                <a:gd name="connsiteY10" fmla="*/ 117842 h 273031"/>
                <a:gd name="connsiteX11" fmla="*/ 271744 w 1533229"/>
                <a:gd name="connsiteY11" fmla="*/ 90152 h 273031"/>
                <a:gd name="connsiteX12" fmla="*/ 358677 w 1533229"/>
                <a:gd name="connsiteY12" fmla="*/ 169357 h 273031"/>
                <a:gd name="connsiteX13" fmla="*/ 765005 w 1533229"/>
                <a:gd name="connsiteY13" fmla="*/ 36705 h 273031"/>
                <a:gd name="connsiteX14" fmla="*/ 692239 w 1533229"/>
                <a:gd name="connsiteY14" fmla="*/ 36705 h 273031"/>
                <a:gd name="connsiteX15" fmla="*/ 692239 w 1533229"/>
                <a:gd name="connsiteY15" fmla="*/ 92084 h 273031"/>
                <a:gd name="connsiteX16" fmla="*/ 652959 w 1533229"/>
                <a:gd name="connsiteY16" fmla="*/ 92084 h 273031"/>
                <a:gd name="connsiteX17" fmla="*/ 652959 w 1533229"/>
                <a:gd name="connsiteY17" fmla="*/ 151327 h 273031"/>
                <a:gd name="connsiteX18" fmla="*/ 692239 w 1533229"/>
                <a:gd name="connsiteY18" fmla="*/ 151327 h 273031"/>
                <a:gd name="connsiteX19" fmla="*/ 692239 w 1533229"/>
                <a:gd name="connsiteY19" fmla="*/ 269168 h 273031"/>
                <a:gd name="connsiteX20" fmla="*/ 838415 w 1533229"/>
                <a:gd name="connsiteY20" fmla="*/ 269168 h 273031"/>
                <a:gd name="connsiteX21" fmla="*/ 838415 w 1533229"/>
                <a:gd name="connsiteY21" fmla="*/ 209926 h 273031"/>
                <a:gd name="connsiteX22" fmla="*/ 765649 w 1533229"/>
                <a:gd name="connsiteY22" fmla="*/ 209926 h 273031"/>
                <a:gd name="connsiteX23" fmla="*/ 765649 w 1533229"/>
                <a:gd name="connsiteY23" fmla="*/ 151327 h 273031"/>
                <a:gd name="connsiteX24" fmla="*/ 838415 w 1533229"/>
                <a:gd name="connsiteY24" fmla="*/ 151327 h 273031"/>
                <a:gd name="connsiteX25" fmla="*/ 838415 w 1533229"/>
                <a:gd name="connsiteY25" fmla="*/ 92084 h 273031"/>
                <a:gd name="connsiteX26" fmla="*/ 765649 w 1533229"/>
                <a:gd name="connsiteY26" fmla="*/ 92084 h 273031"/>
                <a:gd name="connsiteX27" fmla="*/ 765649 w 1533229"/>
                <a:gd name="connsiteY27" fmla="*/ 36705 h 273031"/>
                <a:gd name="connsiteX28" fmla="*/ 632997 w 1533229"/>
                <a:gd name="connsiteY28" fmla="*/ 192539 h 273031"/>
                <a:gd name="connsiteX29" fmla="*/ 462352 w 1533229"/>
                <a:gd name="connsiteY29" fmla="*/ 192539 h 273031"/>
                <a:gd name="connsiteX30" fmla="*/ 508072 w 1533229"/>
                <a:gd name="connsiteY30" fmla="*/ 216365 h 273031"/>
                <a:gd name="connsiteX31" fmla="*/ 548640 w 1533229"/>
                <a:gd name="connsiteY31" fmla="*/ 209926 h 273031"/>
                <a:gd name="connsiteX32" fmla="*/ 627845 w 1533229"/>
                <a:gd name="connsiteY32" fmla="*/ 209926 h 273031"/>
                <a:gd name="connsiteX33" fmla="*/ 508072 w 1533229"/>
                <a:gd name="connsiteY33" fmla="*/ 273032 h 273031"/>
                <a:gd name="connsiteX34" fmla="*/ 388942 w 1533229"/>
                <a:gd name="connsiteY34" fmla="*/ 180304 h 273031"/>
                <a:gd name="connsiteX35" fmla="*/ 511291 w 1533229"/>
                <a:gd name="connsiteY35" fmla="*/ 87576 h 273031"/>
                <a:gd name="connsiteX36" fmla="*/ 632997 w 1533229"/>
                <a:gd name="connsiteY36" fmla="*/ 192539 h 273031"/>
                <a:gd name="connsiteX37" fmla="*/ 556367 w 1533229"/>
                <a:gd name="connsiteY37" fmla="*/ 152615 h 273031"/>
                <a:gd name="connsiteX38" fmla="*/ 510647 w 1533229"/>
                <a:gd name="connsiteY38" fmla="*/ 135228 h 273031"/>
                <a:gd name="connsiteX39" fmla="*/ 465571 w 1533229"/>
                <a:gd name="connsiteY39" fmla="*/ 152615 h 273031"/>
                <a:gd name="connsiteX40" fmla="*/ 556367 w 1533229"/>
                <a:gd name="connsiteY40" fmla="*/ 152615 h 273031"/>
                <a:gd name="connsiteX41" fmla="*/ 1041901 w 1533229"/>
                <a:gd name="connsiteY41" fmla="*/ 186744 h 273031"/>
                <a:gd name="connsiteX42" fmla="*/ 985878 w 1533229"/>
                <a:gd name="connsiteY42" fmla="*/ 208638 h 273031"/>
                <a:gd name="connsiteX43" fmla="*/ 943377 w 1533229"/>
                <a:gd name="connsiteY43" fmla="*/ 165493 h 273031"/>
                <a:gd name="connsiteX44" fmla="*/ 943377 w 1533229"/>
                <a:gd name="connsiteY44" fmla="*/ 92084 h 273031"/>
                <a:gd name="connsiteX45" fmla="*/ 870612 w 1533229"/>
                <a:gd name="connsiteY45" fmla="*/ 92084 h 273031"/>
                <a:gd name="connsiteX46" fmla="*/ 870612 w 1533229"/>
                <a:gd name="connsiteY46" fmla="*/ 194471 h 273031"/>
                <a:gd name="connsiteX47" fmla="*/ 957544 w 1533229"/>
                <a:gd name="connsiteY47" fmla="*/ 269812 h 273031"/>
                <a:gd name="connsiteX48" fmla="*/ 1041901 w 1533229"/>
                <a:gd name="connsiteY48" fmla="*/ 243411 h 273031"/>
                <a:gd name="connsiteX49" fmla="*/ 1041901 w 1533229"/>
                <a:gd name="connsiteY49" fmla="*/ 268524 h 273031"/>
                <a:gd name="connsiteX50" fmla="*/ 1114667 w 1533229"/>
                <a:gd name="connsiteY50" fmla="*/ 268524 h 273031"/>
                <a:gd name="connsiteX51" fmla="*/ 1114667 w 1533229"/>
                <a:gd name="connsiteY51" fmla="*/ 91440 h 273031"/>
                <a:gd name="connsiteX52" fmla="*/ 1041901 w 1533229"/>
                <a:gd name="connsiteY52" fmla="*/ 91440 h 273031"/>
                <a:gd name="connsiteX53" fmla="*/ 1041901 w 1533229"/>
                <a:gd name="connsiteY53" fmla="*/ 186744 h 273031"/>
                <a:gd name="connsiteX54" fmla="*/ 1457888 w 1533229"/>
                <a:gd name="connsiteY54" fmla="*/ 89508 h 273031"/>
                <a:gd name="connsiteX55" fmla="*/ 1371600 w 1533229"/>
                <a:gd name="connsiteY55" fmla="*/ 123637 h 273031"/>
                <a:gd name="connsiteX56" fmla="*/ 1305274 w 1533229"/>
                <a:gd name="connsiteY56" fmla="*/ 89508 h 273031"/>
                <a:gd name="connsiteX57" fmla="*/ 1225425 w 1533229"/>
                <a:gd name="connsiteY57" fmla="*/ 121705 h 273031"/>
                <a:gd name="connsiteX58" fmla="*/ 1225425 w 1533229"/>
                <a:gd name="connsiteY58" fmla="*/ 92084 h 273031"/>
                <a:gd name="connsiteX59" fmla="*/ 1152659 w 1533229"/>
                <a:gd name="connsiteY59" fmla="*/ 92084 h 273031"/>
                <a:gd name="connsiteX60" fmla="*/ 1152659 w 1533229"/>
                <a:gd name="connsiteY60" fmla="*/ 269168 h 273031"/>
                <a:gd name="connsiteX61" fmla="*/ 1225425 w 1533229"/>
                <a:gd name="connsiteY61" fmla="*/ 269168 h 273031"/>
                <a:gd name="connsiteX62" fmla="*/ 1225425 w 1533229"/>
                <a:gd name="connsiteY62" fmla="*/ 173865 h 273031"/>
                <a:gd name="connsiteX63" fmla="*/ 1273721 w 1533229"/>
                <a:gd name="connsiteY63" fmla="*/ 151327 h 273031"/>
                <a:gd name="connsiteX64" fmla="*/ 1307850 w 1533229"/>
                <a:gd name="connsiteY64" fmla="*/ 194471 h 273031"/>
                <a:gd name="connsiteX65" fmla="*/ 1307850 w 1533229"/>
                <a:gd name="connsiteY65" fmla="*/ 269168 h 273031"/>
                <a:gd name="connsiteX66" fmla="*/ 1380615 w 1533229"/>
                <a:gd name="connsiteY66" fmla="*/ 269168 h 273031"/>
                <a:gd name="connsiteX67" fmla="*/ 1380615 w 1533229"/>
                <a:gd name="connsiteY67" fmla="*/ 171933 h 273031"/>
                <a:gd name="connsiteX68" fmla="*/ 1426335 w 1533229"/>
                <a:gd name="connsiteY68" fmla="*/ 151327 h 273031"/>
                <a:gd name="connsiteX69" fmla="*/ 1460464 w 1533229"/>
                <a:gd name="connsiteY69" fmla="*/ 194471 h 273031"/>
                <a:gd name="connsiteX70" fmla="*/ 1460464 w 1533229"/>
                <a:gd name="connsiteY70" fmla="*/ 269168 h 273031"/>
                <a:gd name="connsiteX71" fmla="*/ 1533230 w 1533229"/>
                <a:gd name="connsiteY71" fmla="*/ 269168 h 273031"/>
                <a:gd name="connsiteX72" fmla="*/ 1533230 w 1533229"/>
                <a:gd name="connsiteY72" fmla="*/ 162918 h 273031"/>
                <a:gd name="connsiteX73" fmla="*/ 1457888 w 1533229"/>
                <a:gd name="connsiteY73" fmla="*/ 89508 h 273031"/>
                <a:gd name="connsiteX74" fmla="*/ 0 w 1533229"/>
                <a:gd name="connsiteY74" fmla="*/ 92084 h 273031"/>
                <a:gd name="connsiteX75" fmla="*/ 0 w 1533229"/>
                <a:gd name="connsiteY75" fmla="*/ 269168 h 273031"/>
                <a:gd name="connsiteX76" fmla="*/ 72766 w 1533229"/>
                <a:gd name="connsiteY76" fmla="*/ 269168 h 273031"/>
                <a:gd name="connsiteX77" fmla="*/ 72766 w 1533229"/>
                <a:gd name="connsiteY77" fmla="*/ 92084 h 273031"/>
                <a:gd name="connsiteX78" fmla="*/ 0 w 1533229"/>
                <a:gd name="connsiteY78" fmla="*/ 92084 h 273031"/>
                <a:gd name="connsiteX79" fmla="*/ 72766 w 1533229"/>
                <a:gd name="connsiteY79" fmla="*/ 0 h 273031"/>
                <a:gd name="connsiteX80" fmla="*/ 0 w 1533229"/>
                <a:gd name="connsiteY80" fmla="*/ 0 h 273031"/>
                <a:gd name="connsiteX81" fmla="*/ 0 w 1533229"/>
                <a:gd name="connsiteY81" fmla="*/ 72766 h 273031"/>
                <a:gd name="connsiteX82" fmla="*/ 72766 w 1533229"/>
                <a:gd name="connsiteY82" fmla="*/ 72766 h 273031"/>
                <a:gd name="connsiteX83" fmla="*/ 72766 w 1533229"/>
                <a:gd name="connsiteY83" fmla="*/ 0 h 2730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  <a:cxn ang="0">
                  <a:pos x="connsiteX66" y="connsiteY66"/>
                </a:cxn>
                <a:cxn ang="0">
                  <a:pos x="connsiteX67" y="connsiteY67"/>
                </a:cxn>
                <a:cxn ang="0">
                  <a:pos x="connsiteX68" y="connsiteY68"/>
                </a:cxn>
                <a:cxn ang="0">
                  <a:pos x="connsiteX69" y="connsiteY69"/>
                </a:cxn>
                <a:cxn ang="0">
                  <a:pos x="connsiteX70" y="connsiteY70"/>
                </a:cxn>
                <a:cxn ang="0">
                  <a:pos x="connsiteX71" y="connsiteY71"/>
                </a:cxn>
                <a:cxn ang="0">
                  <a:pos x="connsiteX72" y="connsiteY72"/>
                </a:cxn>
                <a:cxn ang="0">
                  <a:pos x="connsiteX73" y="connsiteY73"/>
                </a:cxn>
                <a:cxn ang="0">
                  <a:pos x="connsiteX74" y="connsiteY74"/>
                </a:cxn>
                <a:cxn ang="0">
                  <a:pos x="connsiteX75" y="connsiteY75"/>
                </a:cxn>
                <a:cxn ang="0">
                  <a:pos x="connsiteX76" y="connsiteY76"/>
                </a:cxn>
                <a:cxn ang="0">
                  <a:pos x="connsiteX77" y="connsiteY77"/>
                </a:cxn>
                <a:cxn ang="0">
                  <a:pos x="connsiteX78" y="connsiteY78"/>
                </a:cxn>
                <a:cxn ang="0">
                  <a:pos x="connsiteX79" y="connsiteY79"/>
                </a:cxn>
                <a:cxn ang="0">
                  <a:pos x="connsiteX80" y="connsiteY80"/>
                </a:cxn>
                <a:cxn ang="0">
                  <a:pos x="connsiteX81" y="connsiteY81"/>
                </a:cxn>
                <a:cxn ang="0">
                  <a:pos x="connsiteX82" y="connsiteY82"/>
                </a:cxn>
                <a:cxn ang="0">
                  <a:pos x="connsiteX83" y="connsiteY83"/>
                </a:cxn>
              </a:cxnLst>
              <a:rect l="l" t="t" r="r" b="b"/>
              <a:pathLst>
                <a:path w="1533229" h="273031">
                  <a:moveTo>
                    <a:pt x="358677" y="169357"/>
                  </a:moveTo>
                  <a:lnTo>
                    <a:pt x="358677" y="269168"/>
                  </a:lnTo>
                  <a:lnTo>
                    <a:pt x="285267" y="269168"/>
                  </a:lnTo>
                  <a:lnTo>
                    <a:pt x="285267" y="198978"/>
                  </a:lnTo>
                  <a:cubicBezTo>
                    <a:pt x="285267" y="167425"/>
                    <a:pt x="274964" y="154546"/>
                    <a:pt x="242123" y="154546"/>
                  </a:cubicBezTo>
                  <a:cubicBezTo>
                    <a:pt x="220229" y="154546"/>
                    <a:pt x="197691" y="164206"/>
                    <a:pt x="183524" y="177728"/>
                  </a:cubicBezTo>
                  <a:lnTo>
                    <a:pt x="183524" y="269812"/>
                  </a:lnTo>
                  <a:lnTo>
                    <a:pt x="110758" y="269812"/>
                  </a:lnTo>
                  <a:lnTo>
                    <a:pt x="110758" y="92084"/>
                  </a:lnTo>
                  <a:lnTo>
                    <a:pt x="183524" y="92084"/>
                  </a:lnTo>
                  <a:lnTo>
                    <a:pt x="183524" y="117842"/>
                  </a:lnTo>
                  <a:cubicBezTo>
                    <a:pt x="205418" y="102387"/>
                    <a:pt x="233108" y="90152"/>
                    <a:pt x="271744" y="90152"/>
                  </a:cubicBezTo>
                  <a:cubicBezTo>
                    <a:pt x="312957" y="90152"/>
                    <a:pt x="358677" y="103675"/>
                    <a:pt x="358677" y="169357"/>
                  </a:cubicBezTo>
                  <a:close/>
                  <a:moveTo>
                    <a:pt x="765005" y="36705"/>
                  </a:moveTo>
                  <a:lnTo>
                    <a:pt x="692239" y="36705"/>
                  </a:lnTo>
                  <a:lnTo>
                    <a:pt x="692239" y="92084"/>
                  </a:lnTo>
                  <a:lnTo>
                    <a:pt x="652959" y="92084"/>
                  </a:lnTo>
                  <a:lnTo>
                    <a:pt x="652959" y="151327"/>
                  </a:lnTo>
                  <a:lnTo>
                    <a:pt x="692239" y="151327"/>
                  </a:lnTo>
                  <a:lnTo>
                    <a:pt x="692239" y="269168"/>
                  </a:lnTo>
                  <a:lnTo>
                    <a:pt x="838415" y="269168"/>
                  </a:lnTo>
                  <a:lnTo>
                    <a:pt x="838415" y="209926"/>
                  </a:lnTo>
                  <a:lnTo>
                    <a:pt x="765649" y="209926"/>
                  </a:lnTo>
                  <a:lnTo>
                    <a:pt x="765649" y="151327"/>
                  </a:lnTo>
                  <a:lnTo>
                    <a:pt x="838415" y="151327"/>
                  </a:lnTo>
                  <a:lnTo>
                    <a:pt x="838415" y="92084"/>
                  </a:lnTo>
                  <a:lnTo>
                    <a:pt x="765649" y="92084"/>
                  </a:lnTo>
                  <a:lnTo>
                    <a:pt x="765649" y="36705"/>
                  </a:lnTo>
                  <a:close/>
                  <a:moveTo>
                    <a:pt x="632997" y="192539"/>
                  </a:moveTo>
                  <a:lnTo>
                    <a:pt x="462352" y="192539"/>
                  </a:lnTo>
                  <a:cubicBezTo>
                    <a:pt x="468147" y="211857"/>
                    <a:pt x="488109" y="216365"/>
                    <a:pt x="508072" y="216365"/>
                  </a:cubicBezTo>
                  <a:cubicBezTo>
                    <a:pt x="527390" y="216365"/>
                    <a:pt x="538337" y="215077"/>
                    <a:pt x="548640" y="209926"/>
                  </a:cubicBezTo>
                  <a:lnTo>
                    <a:pt x="627845" y="209926"/>
                  </a:lnTo>
                  <a:cubicBezTo>
                    <a:pt x="616254" y="252426"/>
                    <a:pt x="577617" y="273032"/>
                    <a:pt x="508072" y="273032"/>
                  </a:cubicBezTo>
                  <a:cubicBezTo>
                    <a:pt x="437882" y="273032"/>
                    <a:pt x="388942" y="246630"/>
                    <a:pt x="388942" y="180304"/>
                  </a:cubicBezTo>
                  <a:cubicBezTo>
                    <a:pt x="388942" y="113978"/>
                    <a:pt x="437882" y="87576"/>
                    <a:pt x="511291" y="87576"/>
                  </a:cubicBezTo>
                  <a:cubicBezTo>
                    <a:pt x="585345" y="87576"/>
                    <a:pt x="632997" y="113978"/>
                    <a:pt x="632997" y="192539"/>
                  </a:cubicBezTo>
                  <a:close/>
                  <a:moveTo>
                    <a:pt x="556367" y="152615"/>
                  </a:moveTo>
                  <a:cubicBezTo>
                    <a:pt x="547996" y="140380"/>
                    <a:pt x="529966" y="135228"/>
                    <a:pt x="510647" y="135228"/>
                  </a:cubicBezTo>
                  <a:cubicBezTo>
                    <a:pt x="491329" y="135228"/>
                    <a:pt x="473299" y="141024"/>
                    <a:pt x="465571" y="152615"/>
                  </a:cubicBezTo>
                  <a:lnTo>
                    <a:pt x="556367" y="152615"/>
                  </a:lnTo>
                  <a:close/>
                  <a:moveTo>
                    <a:pt x="1041901" y="186744"/>
                  </a:moveTo>
                  <a:cubicBezTo>
                    <a:pt x="1028378" y="199622"/>
                    <a:pt x="1006484" y="208638"/>
                    <a:pt x="985878" y="208638"/>
                  </a:cubicBezTo>
                  <a:cubicBezTo>
                    <a:pt x="954325" y="208638"/>
                    <a:pt x="943377" y="195759"/>
                    <a:pt x="943377" y="165493"/>
                  </a:cubicBezTo>
                  <a:lnTo>
                    <a:pt x="943377" y="92084"/>
                  </a:lnTo>
                  <a:lnTo>
                    <a:pt x="870612" y="92084"/>
                  </a:lnTo>
                  <a:lnTo>
                    <a:pt x="870612" y="194471"/>
                  </a:lnTo>
                  <a:cubicBezTo>
                    <a:pt x="870612" y="257577"/>
                    <a:pt x="918264" y="269812"/>
                    <a:pt x="957544" y="269812"/>
                  </a:cubicBezTo>
                  <a:cubicBezTo>
                    <a:pt x="994249" y="269812"/>
                    <a:pt x="1021295" y="258221"/>
                    <a:pt x="1041901" y="243411"/>
                  </a:cubicBezTo>
                  <a:lnTo>
                    <a:pt x="1041901" y="268524"/>
                  </a:lnTo>
                  <a:lnTo>
                    <a:pt x="1114667" y="268524"/>
                  </a:lnTo>
                  <a:lnTo>
                    <a:pt x="1114667" y="91440"/>
                  </a:lnTo>
                  <a:lnTo>
                    <a:pt x="1041901" y="91440"/>
                  </a:lnTo>
                  <a:lnTo>
                    <a:pt x="1041901" y="186744"/>
                  </a:lnTo>
                  <a:close/>
                  <a:moveTo>
                    <a:pt x="1457888" y="89508"/>
                  </a:moveTo>
                  <a:cubicBezTo>
                    <a:pt x="1414744" y="89508"/>
                    <a:pt x="1388987" y="103031"/>
                    <a:pt x="1371600" y="123637"/>
                  </a:cubicBezTo>
                  <a:cubicBezTo>
                    <a:pt x="1357433" y="97879"/>
                    <a:pt x="1327168" y="89508"/>
                    <a:pt x="1305274" y="89508"/>
                  </a:cubicBezTo>
                  <a:cubicBezTo>
                    <a:pt x="1262130" y="89508"/>
                    <a:pt x="1241523" y="106895"/>
                    <a:pt x="1225425" y="121705"/>
                  </a:cubicBezTo>
                  <a:lnTo>
                    <a:pt x="1225425" y="92084"/>
                  </a:lnTo>
                  <a:lnTo>
                    <a:pt x="1152659" y="92084"/>
                  </a:lnTo>
                  <a:lnTo>
                    <a:pt x="1152659" y="269168"/>
                  </a:lnTo>
                  <a:lnTo>
                    <a:pt x="1225425" y="269168"/>
                  </a:lnTo>
                  <a:lnTo>
                    <a:pt x="1225425" y="173865"/>
                  </a:lnTo>
                  <a:cubicBezTo>
                    <a:pt x="1240236" y="159054"/>
                    <a:pt x="1255690" y="151327"/>
                    <a:pt x="1273721" y="151327"/>
                  </a:cubicBezTo>
                  <a:cubicBezTo>
                    <a:pt x="1299478" y="151327"/>
                    <a:pt x="1307850" y="164206"/>
                    <a:pt x="1307850" y="194471"/>
                  </a:cubicBezTo>
                  <a:lnTo>
                    <a:pt x="1307850" y="269168"/>
                  </a:lnTo>
                  <a:lnTo>
                    <a:pt x="1380615" y="269168"/>
                  </a:lnTo>
                  <a:lnTo>
                    <a:pt x="1380615" y="171933"/>
                  </a:lnTo>
                  <a:cubicBezTo>
                    <a:pt x="1395426" y="157122"/>
                    <a:pt x="1408305" y="151327"/>
                    <a:pt x="1426335" y="151327"/>
                  </a:cubicBezTo>
                  <a:cubicBezTo>
                    <a:pt x="1452093" y="151327"/>
                    <a:pt x="1460464" y="164206"/>
                    <a:pt x="1460464" y="194471"/>
                  </a:cubicBezTo>
                  <a:lnTo>
                    <a:pt x="1460464" y="269168"/>
                  </a:lnTo>
                  <a:lnTo>
                    <a:pt x="1533230" y="269168"/>
                  </a:lnTo>
                  <a:lnTo>
                    <a:pt x="1533230" y="162918"/>
                  </a:lnTo>
                  <a:cubicBezTo>
                    <a:pt x="1533230" y="101743"/>
                    <a:pt x="1488798" y="89508"/>
                    <a:pt x="1457888" y="89508"/>
                  </a:cubicBezTo>
                  <a:close/>
                  <a:moveTo>
                    <a:pt x="0" y="92084"/>
                  </a:moveTo>
                  <a:lnTo>
                    <a:pt x="0" y="269168"/>
                  </a:lnTo>
                  <a:lnTo>
                    <a:pt x="72766" y="269168"/>
                  </a:lnTo>
                  <a:lnTo>
                    <a:pt x="72766" y="92084"/>
                  </a:lnTo>
                  <a:lnTo>
                    <a:pt x="0" y="92084"/>
                  </a:lnTo>
                  <a:close/>
                  <a:moveTo>
                    <a:pt x="72766" y="0"/>
                  </a:moveTo>
                  <a:lnTo>
                    <a:pt x="0" y="0"/>
                  </a:lnTo>
                  <a:lnTo>
                    <a:pt x="0" y="72766"/>
                  </a:lnTo>
                  <a:lnTo>
                    <a:pt x="72766" y="72766"/>
                  </a:lnTo>
                  <a:lnTo>
                    <a:pt x="72766" y="0"/>
                  </a:lnTo>
                  <a:close/>
                </a:path>
              </a:pathLst>
            </a:custGeom>
            <a:solidFill>
              <a:srgbClr val="232D4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  <xdr:sp macro="" textlink="">
          <xdr:nvSpPr>
            <xdr:cNvPr id="6" name="Forme libre : forme 20">
              <a:extLst>
                <a:ext uri="{FF2B5EF4-FFF2-40B4-BE49-F238E27FC236}">
                  <a16:creationId xmlns:a16="http://schemas.microsoft.com/office/drawing/2014/main" id="{303FEF07-0537-4B30-90CB-4692244B9F0A}"/>
                </a:ext>
              </a:extLst>
            </xdr:cNvPr>
            <xdr:cNvSpPr/>
          </xdr:nvSpPr>
          <xdr:spPr>
            <a:xfrm>
              <a:off x="15119439" y="697487"/>
              <a:ext cx="218296" cy="218940"/>
            </a:xfrm>
            <a:custGeom>
              <a:avLst/>
              <a:gdLst>
                <a:gd name="connsiteX0" fmla="*/ 72766 w 218296"/>
                <a:gd name="connsiteY0" fmla="*/ 0 h 218940"/>
                <a:gd name="connsiteX1" fmla="*/ 72766 w 218296"/>
                <a:gd name="connsiteY1" fmla="*/ 72766 h 218940"/>
                <a:gd name="connsiteX2" fmla="*/ 145531 w 218296"/>
                <a:gd name="connsiteY2" fmla="*/ 72766 h 218940"/>
                <a:gd name="connsiteX3" fmla="*/ 145531 w 218296"/>
                <a:gd name="connsiteY3" fmla="*/ 145531 h 218940"/>
                <a:gd name="connsiteX4" fmla="*/ 218297 w 218296"/>
                <a:gd name="connsiteY4" fmla="*/ 145531 h 218940"/>
                <a:gd name="connsiteX5" fmla="*/ 218297 w 218296"/>
                <a:gd name="connsiteY5" fmla="*/ 0 h 218940"/>
                <a:gd name="connsiteX6" fmla="*/ 72766 w 218296"/>
                <a:gd name="connsiteY6" fmla="*/ 0 h 218940"/>
                <a:gd name="connsiteX7" fmla="*/ 72766 w 218296"/>
                <a:gd name="connsiteY7" fmla="*/ 146175 h 218940"/>
                <a:gd name="connsiteX8" fmla="*/ 0 w 218296"/>
                <a:gd name="connsiteY8" fmla="*/ 146175 h 218940"/>
                <a:gd name="connsiteX9" fmla="*/ 0 w 218296"/>
                <a:gd name="connsiteY9" fmla="*/ 218941 h 218940"/>
                <a:gd name="connsiteX10" fmla="*/ 72766 w 218296"/>
                <a:gd name="connsiteY10" fmla="*/ 218941 h 218940"/>
                <a:gd name="connsiteX11" fmla="*/ 72766 w 218296"/>
                <a:gd name="connsiteY11" fmla="*/ 146175 h 2189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218296" h="218940">
                  <a:moveTo>
                    <a:pt x="72766" y="0"/>
                  </a:moveTo>
                  <a:lnTo>
                    <a:pt x="72766" y="72766"/>
                  </a:lnTo>
                  <a:lnTo>
                    <a:pt x="145531" y="72766"/>
                  </a:lnTo>
                  <a:lnTo>
                    <a:pt x="145531" y="145531"/>
                  </a:lnTo>
                  <a:lnTo>
                    <a:pt x="218297" y="145531"/>
                  </a:lnTo>
                  <a:lnTo>
                    <a:pt x="218297" y="0"/>
                  </a:lnTo>
                  <a:lnTo>
                    <a:pt x="72766" y="0"/>
                  </a:lnTo>
                  <a:close/>
                  <a:moveTo>
                    <a:pt x="72766" y="146175"/>
                  </a:moveTo>
                  <a:lnTo>
                    <a:pt x="0" y="146175"/>
                  </a:lnTo>
                  <a:lnTo>
                    <a:pt x="0" y="218941"/>
                  </a:lnTo>
                  <a:lnTo>
                    <a:pt x="72766" y="218941"/>
                  </a:lnTo>
                  <a:lnTo>
                    <a:pt x="72766" y="146175"/>
                  </a:lnTo>
                  <a:close/>
                </a:path>
              </a:pathLst>
            </a:custGeom>
            <a:solidFill>
              <a:srgbClr val="00AA9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184150</xdr:colOff>
      <xdr:row>1</xdr:row>
      <xdr:rowOff>19050</xdr:rowOff>
    </xdr:from>
    <xdr:to>
      <xdr:col>3</xdr:col>
      <xdr:colOff>244610</xdr:colOff>
      <xdr:row>2</xdr:row>
      <xdr:rowOff>312592</xdr:rowOff>
    </xdr:to>
    <xdr:grpSp>
      <xdr:nvGrpSpPr>
        <xdr:cNvPr id="12" name="Graphique 9">
          <a:extLst>
            <a:ext uri="{FF2B5EF4-FFF2-40B4-BE49-F238E27FC236}">
              <a16:creationId xmlns:a16="http://schemas.microsoft.com/office/drawing/2014/main" id="{493B9AF2-2834-4ED8-8331-1B0B9850B274}"/>
            </a:ext>
          </a:extLst>
        </xdr:cNvPr>
        <xdr:cNvGrpSpPr>
          <a:grpSpLocks noChangeAspect="1"/>
        </xdr:cNvGrpSpPr>
      </xdr:nvGrpSpPr>
      <xdr:grpSpPr>
        <a:xfrm>
          <a:off x="288925" y="200025"/>
          <a:ext cx="1803535" cy="474517"/>
          <a:chOff x="13512800" y="647260"/>
          <a:chExt cx="1824935" cy="432728"/>
        </a:xfrm>
      </xdr:grpSpPr>
      <xdr:sp macro="" textlink="">
        <xdr:nvSpPr>
          <xdr:cNvPr id="13" name="Forme libre : forme 17">
            <a:extLst>
              <a:ext uri="{FF2B5EF4-FFF2-40B4-BE49-F238E27FC236}">
                <a16:creationId xmlns:a16="http://schemas.microsoft.com/office/drawing/2014/main" id="{82291188-DF83-44BD-9A8B-C65287B4005A}"/>
              </a:ext>
            </a:extLst>
          </xdr:cNvPr>
          <xdr:cNvSpPr/>
        </xdr:nvSpPr>
        <xdr:spPr>
          <a:xfrm>
            <a:off x="13798067" y="988549"/>
            <a:ext cx="1254402" cy="91439"/>
          </a:xfrm>
          <a:custGeom>
            <a:avLst/>
            <a:gdLst>
              <a:gd name="connsiteX0" fmla="*/ 70834 w 1254402"/>
              <a:gd name="connsiteY0" fmla="*/ 31553 h 91439"/>
              <a:gd name="connsiteX1" fmla="*/ 47652 w 1254402"/>
              <a:gd name="connsiteY1" fmla="*/ 53447 h 91439"/>
              <a:gd name="connsiteX2" fmla="*/ 15455 w 1254402"/>
              <a:gd name="connsiteY2" fmla="*/ 53447 h 91439"/>
              <a:gd name="connsiteX3" fmla="*/ 15455 w 1254402"/>
              <a:gd name="connsiteY3" fmla="*/ 69546 h 91439"/>
              <a:gd name="connsiteX4" fmla="*/ 0 w 1254402"/>
              <a:gd name="connsiteY4" fmla="*/ 69546 h 91439"/>
              <a:gd name="connsiteX5" fmla="*/ 0 w 1254402"/>
              <a:gd name="connsiteY5" fmla="*/ 9015 h 91439"/>
              <a:gd name="connsiteX6" fmla="*/ 47652 w 1254402"/>
              <a:gd name="connsiteY6" fmla="*/ 9015 h 91439"/>
              <a:gd name="connsiteX7" fmla="*/ 70834 w 1254402"/>
              <a:gd name="connsiteY7" fmla="*/ 31553 h 91439"/>
              <a:gd name="connsiteX8" fmla="*/ 55379 w 1254402"/>
              <a:gd name="connsiteY8" fmla="*/ 31553 h 91439"/>
              <a:gd name="connsiteX9" fmla="*/ 43788 w 1254402"/>
              <a:gd name="connsiteY9" fmla="*/ 22538 h 91439"/>
              <a:gd name="connsiteX10" fmla="*/ 16099 w 1254402"/>
              <a:gd name="connsiteY10" fmla="*/ 22538 h 91439"/>
              <a:gd name="connsiteX11" fmla="*/ 16099 w 1254402"/>
              <a:gd name="connsiteY11" fmla="*/ 40568 h 91439"/>
              <a:gd name="connsiteX12" fmla="*/ 43144 w 1254402"/>
              <a:gd name="connsiteY12" fmla="*/ 40568 h 91439"/>
              <a:gd name="connsiteX13" fmla="*/ 55379 w 1254402"/>
              <a:gd name="connsiteY13" fmla="*/ 31553 h 91439"/>
              <a:gd name="connsiteX14" fmla="*/ 79849 w 1254402"/>
              <a:gd name="connsiteY14" fmla="*/ 44432 h 91439"/>
              <a:gd name="connsiteX15" fmla="*/ 115266 w 1254402"/>
              <a:gd name="connsiteY15" fmla="*/ 18030 h 91439"/>
              <a:gd name="connsiteX16" fmla="*/ 150683 w 1254402"/>
              <a:gd name="connsiteY16" fmla="*/ 44432 h 91439"/>
              <a:gd name="connsiteX17" fmla="*/ 115266 w 1254402"/>
              <a:gd name="connsiteY17" fmla="*/ 70834 h 91439"/>
              <a:gd name="connsiteX18" fmla="*/ 79849 w 1254402"/>
              <a:gd name="connsiteY18" fmla="*/ 44432 h 91439"/>
              <a:gd name="connsiteX19" fmla="*/ 135228 w 1254402"/>
              <a:gd name="connsiteY19" fmla="*/ 44432 h 91439"/>
              <a:gd name="connsiteX20" fmla="*/ 114622 w 1254402"/>
              <a:gd name="connsiteY20" fmla="*/ 30265 h 91439"/>
              <a:gd name="connsiteX21" fmla="*/ 94016 w 1254402"/>
              <a:gd name="connsiteY21" fmla="*/ 44432 h 91439"/>
              <a:gd name="connsiteX22" fmla="*/ 114622 w 1254402"/>
              <a:gd name="connsiteY22" fmla="*/ 58599 h 91439"/>
              <a:gd name="connsiteX23" fmla="*/ 135228 w 1254402"/>
              <a:gd name="connsiteY23" fmla="*/ 44432 h 91439"/>
              <a:gd name="connsiteX24" fmla="*/ 173221 w 1254402"/>
              <a:gd name="connsiteY24" fmla="*/ 52159 h 91439"/>
              <a:gd name="connsiteX25" fmla="*/ 195115 w 1254402"/>
              <a:gd name="connsiteY25" fmla="*/ 59887 h 91439"/>
              <a:gd name="connsiteX26" fmla="*/ 213789 w 1254402"/>
              <a:gd name="connsiteY26" fmla="*/ 54735 h 91439"/>
              <a:gd name="connsiteX27" fmla="*/ 193827 w 1254402"/>
              <a:gd name="connsiteY27" fmla="*/ 49584 h 91439"/>
              <a:gd name="connsiteX28" fmla="*/ 160342 w 1254402"/>
              <a:gd name="connsiteY28" fmla="*/ 34129 h 91439"/>
              <a:gd name="connsiteX29" fmla="*/ 193827 w 1254402"/>
              <a:gd name="connsiteY29" fmla="*/ 18674 h 91439"/>
              <a:gd name="connsiteX30" fmla="*/ 226668 w 1254402"/>
              <a:gd name="connsiteY30" fmla="*/ 35417 h 91439"/>
              <a:gd name="connsiteX31" fmla="*/ 211857 w 1254402"/>
              <a:gd name="connsiteY31" fmla="*/ 35417 h 91439"/>
              <a:gd name="connsiteX32" fmla="*/ 192539 w 1254402"/>
              <a:gd name="connsiteY32" fmla="*/ 30265 h 91439"/>
              <a:gd name="connsiteX33" fmla="*/ 174509 w 1254402"/>
              <a:gd name="connsiteY33" fmla="*/ 34129 h 91439"/>
              <a:gd name="connsiteX34" fmla="*/ 194471 w 1254402"/>
              <a:gd name="connsiteY34" fmla="*/ 39281 h 91439"/>
              <a:gd name="connsiteX35" fmla="*/ 227956 w 1254402"/>
              <a:gd name="connsiteY35" fmla="*/ 54735 h 91439"/>
              <a:gd name="connsiteX36" fmla="*/ 195759 w 1254402"/>
              <a:gd name="connsiteY36" fmla="*/ 71478 h 91439"/>
              <a:gd name="connsiteX37" fmla="*/ 158410 w 1254402"/>
              <a:gd name="connsiteY37" fmla="*/ 52803 h 91439"/>
              <a:gd name="connsiteX38" fmla="*/ 173221 w 1254402"/>
              <a:gd name="connsiteY38" fmla="*/ 52803 h 91439"/>
              <a:gd name="connsiteX39" fmla="*/ 254358 w 1254402"/>
              <a:gd name="connsiteY39" fmla="*/ 644 h 91439"/>
              <a:gd name="connsiteX40" fmla="*/ 254358 w 1254402"/>
              <a:gd name="connsiteY40" fmla="*/ 13523 h 91439"/>
              <a:gd name="connsiteX41" fmla="*/ 239547 w 1254402"/>
              <a:gd name="connsiteY41" fmla="*/ 13523 h 91439"/>
              <a:gd name="connsiteX42" fmla="*/ 239547 w 1254402"/>
              <a:gd name="connsiteY42" fmla="*/ 644 h 91439"/>
              <a:gd name="connsiteX43" fmla="*/ 254358 w 1254402"/>
              <a:gd name="connsiteY43" fmla="*/ 644 h 91439"/>
              <a:gd name="connsiteX44" fmla="*/ 254358 w 1254402"/>
              <a:gd name="connsiteY44" fmla="*/ 19318 h 91439"/>
              <a:gd name="connsiteX45" fmla="*/ 254358 w 1254402"/>
              <a:gd name="connsiteY45" fmla="*/ 70190 h 91439"/>
              <a:gd name="connsiteX46" fmla="*/ 239547 w 1254402"/>
              <a:gd name="connsiteY46" fmla="*/ 70190 h 91439"/>
              <a:gd name="connsiteX47" fmla="*/ 239547 w 1254402"/>
              <a:gd name="connsiteY47" fmla="*/ 19318 h 91439"/>
              <a:gd name="connsiteX48" fmla="*/ 254358 w 1254402"/>
              <a:gd name="connsiteY48" fmla="*/ 19318 h 91439"/>
              <a:gd name="connsiteX49" fmla="*/ 292994 w 1254402"/>
              <a:gd name="connsiteY49" fmla="*/ 31553 h 91439"/>
              <a:gd name="connsiteX50" fmla="*/ 292994 w 1254402"/>
              <a:gd name="connsiteY50" fmla="*/ 46364 h 91439"/>
              <a:gd name="connsiteX51" fmla="*/ 303941 w 1254402"/>
              <a:gd name="connsiteY51" fmla="*/ 58599 h 91439"/>
              <a:gd name="connsiteX52" fmla="*/ 316820 w 1254402"/>
              <a:gd name="connsiteY52" fmla="*/ 57955 h 91439"/>
              <a:gd name="connsiteX53" fmla="*/ 316820 w 1254402"/>
              <a:gd name="connsiteY53" fmla="*/ 69546 h 91439"/>
              <a:gd name="connsiteX54" fmla="*/ 299434 w 1254402"/>
              <a:gd name="connsiteY54" fmla="*/ 70834 h 91439"/>
              <a:gd name="connsiteX55" fmla="*/ 278184 w 1254402"/>
              <a:gd name="connsiteY55" fmla="*/ 54735 h 91439"/>
              <a:gd name="connsiteX56" fmla="*/ 278184 w 1254402"/>
              <a:gd name="connsiteY56" fmla="*/ 31553 h 91439"/>
              <a:gd name="connsiteX57" fmla="*/ 264661 w 1254402"/>
              <a:gd name="connsiteY57" fmla="*/ 31553 h 91439"/>
              <a:gd name="connsiteX58" fmla="*/ 264661 w 1254402"/>
              <a:gd name="connsiteY58" fmla="*/ 19318 h 91439"/>
              <a:gd name="connsiteX59" fmla="*/ 278184 w 1254402"/>
              <a:gd name="connsiteY59" fmla="*/ 19318 h 91439"/>
              <a:gd name="connsiteX60" fmla="*/ 278184 w 1254402"/>
              <a:gd name="connsiteY60" fmla="*/ 9015 h 91439"/>
              <a:gd name="connsiteX61" fmla="*/ 292994 w 1254402"/>
              <a:gd name="connsiteY61" fmla="*/ 4508 h 91439"/>
              <a:gd name="connsiteX62" fmla="*/ 292994 w 1254402"/>
              <a:gd name="connsiteY62" fmla="*/ 19318 h 91439"/>
              <a:gd name="connsiteX63" fmla="*/ 316820 w 1254402"/>
              <a:gd name="connsiteY63" fmla="*/ 19318 h 91439"/>
              <a:gd name="connsiteX64" fmla="*/ 316820 w 1254402"/>
              <a:gd name="connsiteY64" fmla="*/ 31553 h 91439"/>
              <a:gd name="connsiteX65" fmla="*/ 292994 w 1254402"/>
              <a:gd name="connsiteY65" fmla="*/ 31553 h 91439"/>
              <a:gd name="connsiteX66" fmla="*/ 342578 w 1254402"/>
              <a:gd name="connsiteY66" fmla="*/ 644 h 91439"/>
              <a:gd name="connsiteX67" fmla="*/ 342578 w 1254402"/>
              <a:gd name="connsiteY67" fmla="*/ 13523 h 91439"/>
              <a:gd name="connsiteX68" fmla="*/ 327767 w 1254402"/>
              <a:gd name="connsiteY68" fmla="*/ 13523 h 91439"/>
              <a:gd name="connsiteX69" fmla="*/ 327767 w 1254402"/>
              <a:gd name="connsiteY69" fmla="*/ 644 h 91439"/>
              <a:gd name="connsiteX70" fmla="*/ 342578 w 1254402"/>
              <a:gd name="connsiteY70" fmla="*/ 644 h 91439"/>
              <a:gd name="connsiteX71" fmla="*/ 342578 w 1254402"/>
              <a:gd name="connsiteY71" fmla="*/ 19318 h 91439"/>
              <a:gd name="connsiteX72" fmla="*/ 342578 w 1254402"/>
              <a:gd name="connsiteY72" fmla="*/ 70190 h 91439"/>
              <a:gd name="connsiteX73" fmla="*/ 327767 w 1254402"/>
              <a:gd name="connsiteY73" fmla="*/ 70190 h 91439"/>
              <a:gd name="connsiteX74" fmla="*/ 327767 w 1254402"/>
              <a:gd name="connsiteY74" fmla="*/ 19318 h 91439"/>
              <a:gd name="connsiteX75" fmla="*/ 342578 w 1254402"/>
              <a:gd name="connsiteY75" fmla="*/ 19318 h 91439"/>
              <a:gd name="connsiteX76" fmla="*/ 424359 w 1254402"/>
              <a:gd name="connsiteY76" fmla="*/ 19318 h 91439"/>
              <a:gd name="connsiteX77" fmla="*/ 398601 w 1254402"/>
              <a:gd name="connsiteY77" fmla="*/ 70190 h 91439"/>
              <a:gd name="connsiteX78" fmla="*/ 377995 w 1254402"/>
              <a:gd name="connsiteY78" fmla="*/ 70190 h 91439"/>
              <a:gd name="connsiteX79" fmla="*/ 352237 w 1254402"/>
              <a:gd name="connsiteY79" fmla="*/ 19318 h 91439"/>
              <a:gd name="connsiteX80" fmla="*/ 368336 w 1254402"/>
              <a:gd name="connsiteY80" fmla="*/ 19318 h 91439"/>
              <a:gd name="connsiteX81" fmla="*/ 388298 w 1254402"/>
              <a:gd name="connsiteY81" fmla="*/ 59887 h 91439"/>
              <a:gd name="connsiteX82" fmla="*/ 408260 w 1254402"/>
              <a:gd name="connsiteY82" fmla="*/ 19318 h 91439"/>
              <a:gd name="connsiteX83" fmla="*/ 424359 w 1254402"/>
              <a:gd name="connsiteY83" fmla="*/ 19318 h 91439"/>
              <a:gd name="connsiteX84" fmla="*/ 481670 w 1254402"/>
              <a:gd name="connsiteY84" fmla="*/ 51515 h 91439"/>
              <a:gd name="connsiteX85" fmla="*/ 496481 w 1254402"/>
              <a:gd name="connsiteY85" fmla="*/ 51515 h 91439"/>
              <a:gd name="connsiteX86" fmla="*/ 461708 w 1254402"/>
              <a:gd name="connsiteY86" fmla="*/ 70834 h 91439"/>
              <a:gd name="connsiteX87" fmla="*/ 427579 w 1254402"/>
              <a:gd name="connsiteY87" fmla="*/ 44432 h 91439"/>
              <a:gd name="connsiteX88" fmla="*/ 462995 w 1254402"/>
              <a:gd name="connsiteY88" fmla="*/ 18030 h 91439"/>
              <a:gd name="connsiteX89" fmla="*/ 497768 w 1254402"/>
              <a:gd name="connsiteY89" fmla="*/ 47652 h 91439"/>
              <a:gd name="connsiteX90" fmla="*/ 442389 w 1254402"/>
              <a:gd name="connsiteY90" fmla="*/ 47652 h 91439"/>
              <a:gd name="connsiteX91" fmla="*/ 461708 w 1254402"/>
              <a:gd name="connsiteY91" fmla="*/ 58599 h 91439"/>
              <a:gd name="connsiteX92" fmla="*/ 481670 w 1254402"/>
              <a:gd name="connsiteY92" fmla="*/ 51515 h 91439"/>
              <a:gd name="connsiteX93" fmla="*/ 442389 w 1254402"/>
              <a:gd name="connsiteY93" fmla="*/ 38637 h 91439"/>
              <a:gd name="connsiteX94" fmla="*/ 481026 w 1254402"/>
              <a:gd name="connsiteY94" fmla="*/ 38637 h 91439"/>
              <a:gd name="connsiteX95" fmla="*/ 461708 w 1254402"/>
              <a:gd name="connsiteY95" fmla="*/ 29621 h 91439"/>
              <a:gd name="connsiteX96" fmla="*/ 442389 w 1254402"/>
              <a:gd name="connsiteY96" fmla="*/ 38637 h 91439"/>
              <a:gd name="connsiteX97" fmla="*/ 622694 w 1254402"/>
              <a:gd name="connsiteY97" fmla="*/ 644 h 91439"/>
              <a:gd name="connsiteX98" fmla="*/ 622694 w 1254402"/>
              <a:gd name="connsiteY98" fmla="*/ 69546 h 91439"/>
              <a:gd name="connsiteX99" fmla="*/ 607883 w 1254402"/>
              <a:gd name="connsiteY99" fmla="*/ 69546 h 91439"/>
              <a:gd name="connsiteX100" fmla="*/ 607883 w 1254402"/>
              <a:gd name="connsiteY100" fmla="*/ 61819 h 91439"/>
              <a:gd name="connsiteX101" fmla="*/ 582769 w 1254402"/>
              <a:gd name="connsiteY101" fmla="*/ 70834 h 91439"/>
              <a:gd name="connsiteX102" fmla="*/ 552504 w 1254402"/>
              <a:gd name="connsiteY102" fmla="*/ 44432 h 91439"/>
              <a:gd name="connsiteX103" fmla="*/ 582769 w 1254402"/>
              <a:gd name="connsiteY103" fmla="*/ 18030 h 91439"/>
              <a:gd name="connsiteX104" fmla="*/ 607883 w 1254402"/>
              <a:gd name="connsiteY104" fmla="*/ 27046 h 91439"/>
              <a:gd name="connsiteX105" fmla="*/ 607883 w 1254402"/>
              <a:gd name="connsiteY105" fmla="*/ 644 h 91439"/>
              <a:gd name="connsiteX106" fmla="*/ 622694 w 1254402"/>
              <a:gd name="connsiteY106" fmla="*/ 644 h 91439"/>
              <a:gd name="connsiteX107" fmla="*/ 607883 w 1254402"/>
              <a:gd name="connsiteY107" fmla="*/ 44432 h 91439"/>
              <a:gd name="connsiteX108" fmla="*/ 587277 w 1254402"/>
              <a:gd name="connsiteY108" fmla="*/ 30265 h 91439"/>
              <a:gd name="connsiteX109" fmla="*/ 566670 w 1254402"/>
              <a:gd name="connsiteY109" fmla="*/ 44432 h 91439"/>
              <a:gd name="connsiteX110" fmla="*/ 587277 w 1254402"/>
              <a:gd name="connsiteY110" fmla="*/ 58599 h 91439"/>
              <a:gd name="connsiteX111" fmla="*/ 607883 w 1254402"/>
              <a:gd name="connsiteY111" fmla="*/ 44432 h 91439"/>
              <a:gd name="connsiteX112" fmla="*/ 649739 w 1254402"/>
              <a:gd name="connsiteY112" fmla="*/ 644 h 91439"/>
              <a:gd name="connsiteX113" fmla="*/ 649739 w 1254402"/>
              <a:gd name="connsiteY113" fmla="*/ 13523 h 91439"/>
              <a:gd name="connsiteX114" fmla="*/ 634928 w 1254402"/>
              <a:gd name="connsiteY114" fmla="*/ 13523 h 91439"/>
              <a:gd name="connsiteX115" fmla="*/ 634928 w 1254402"/>
              <a:gd name="connsiteY115" fmla="*/ 644 h 91439"/>
              <a:gd name="connsiteX116" fmla="*/ 649739 w 1254402"/>
              <a:gd name="connsiteY116" fmla="*/ 644 h 91439"/>
              <a:gd name="connsiteX117" fmla="*/ 649739 w 1254402"/>
              <a:gd name="connsiteY117" fmla="*/ 19318 h 91439"/>
              <a:gd name="connsiteX118" fmla="*/ 649739 w 1254402"/>
              <a:gd name="connsiteY118" fmla="*/ 70190 h 91439"/>
              <a:gd name="connsiteX119" fmla="*/ 634928 w 1254402"/>
              <a:gd name="connsiteY119" fmla="*/ 70190 h 91439"/>
              <a:gd name="connsiteX120" fmla="*/ 634928 w 1254402"/>
              <a:gd name="connsiteY120" fmla="*/ 19318 h 91439"/>
              <a:gd name="connsiteX121" fmla="*/ 649739 w 1254402"/>
              <a:gd name="connsiteY121" fmla="*/ 19318 h 91439"/>
              <a:gd name="connsiteX122" fmla="*/ 730876 w 1254402"/>
              <a:gd name="connsiteY122" fmla="*/ 19318 h 91439"/>
              <a:gd name="connsiteX123" fmla="*/ 730876 w 1254402"/>
              <a:gd name="connsiteY123" fmla="*/ 61819 h 91439"/>
              <a:gd name="connsiteX124" fmla="*/ 698035 w 1254402"/>
              <a:gd name="connsiteY124" fmla="*/ 91440 h 91439"/>
              <a:gd name="connsiteX125" fmla="*/ 666482 w 1254402"/>
              <a:gd name="connsiteY125" fmla="*/ 87576 h 91439"/>
              <a:gd name="connsiteX126" fmla="*/ 666482 w 1254402"/>
              <a:gd name="connsiteY126" fmla="*/ 75985 h 91439"/>
              <a:gd name="connsiteX127" fmla="*/ 694815 w 1254402"/>
              <a:gd name="connsiteY127" fmla="*/ 79849 h 91439"/>
              <a:gd name="connsiteX128" fmla="*/ 716065 w 1254402"/>
              <a:gd name="connsiteY128" fmla="*/ 61175 h 91439"/>
              <a:gd name="connsiteX129" fmla="*/ 690308 w 1254402"/>
              <a:gd name="connsiteY129" fmla="*/ 70190 h 91439"/>
              <a:gd name="connsiteX130" fmla="*/ 660686 w 1254402"/>
              <a:gd name="connsiteY130" fmla="*/ 44432 h 91439"/>
              <a:gd name="connsiteX131" fmla="*/ 690308 w 1254402"/>
              <a:gd name="connsiteY131" fmla="*/ 18674 h 91439"/>
              <a:gd name="connsiteX132" fmla="*/ 716065 w 1254402"/>
              <a:gd name="connsiteY132" fmla="*/ 27690 h 91439"/>
              <a:gd name="connsiteX133" fmla="*/ 716065 w 1254402"/>
              <a:gd name="connsiteY133" fmla="*/ 19318 h 91439"/>
              <a:gd name="connsiteX134" fmla="*/ 730876 w 1254402"/>
              <a:gd name="connsiteY134" fmla="*/ 19318 h 91439"/>
              <a:gd name="connsiteX135" fmla="*/ 715421 w 1254402"/>
              <a:gd name="connsiteY135" fmla="*/ 43788 h 91439"/>
              <a:gd name="connsiteX136" fmla="*/ 694815 w 1254402"/>
              <a:gd name="connsiteY136" fmla="*/ 30909 h 91439"/>
              <a:gd name="connsiteX137" fmla="*/ 674209 w 1254402"/>
              <a:gd name="connsiteY137" fmla="*/ 43788 h 91439"/>
              <a:gd name="connsiteX138" fmla="*/ 694815 w 1254402"/>
              <a:gd name="connsiteY138" fmla="*/ 56667 h 91439"/>
              <a:gd name="connsiteX139" fmla="*/ 715421 w 1254402"/>
              <a:gd name="connsiteY139" fmla="*/ 43788 h 91439"/>
              <a:gd name="connsiteX140" fmla="*/ 757278 w 1254402"/>
              <a:gd name="connsiteY140" fmla="*/ 644 h 91439"/>
              <a:gd name="connsiteX141" fmla="*/ 757278 w 1254402"/>
              <a:gd name="connsiteY141" fmla="*/ 13523 h 91439"/>
              <a:gd name="connsiteX142" fmla="*/ 742467 w 1254402"/>
              <a:gd name="connsiteY142" fmla="*/ 13523 h 91439"/>
              <a:gd name="connsiteX143" fmla="*/ 742467 w 1254402"/>
              <a:gd name="connsiteY143" fmla="*/ 644 h 91439"/>
              <a:gd name="connsiteX144" fmla="*/ 757278 w 1254402"/>
              <a:gd name="connsiteY144" fmla="*/ 644 h 91439"/>
              <a:gd name="connsiteX145" fmla="*/ 757278 w 1254402"/>
              <a:gd name="connsiteY145" fmla="*/ 19318 h 91439"/>
              <a:gd name="connsiteX146" fmla="*/ 757278 w 1254402"/>
              <a:gd name="connsiteY146" fmla="*/ 70190 h 91439"/>
              <a:gd name="connsiteX147" fmla="*/ 742467 w 1254402"/>
              <a:gd name="connsiteY147" fmla="*/ 70190 h 91439"/>
              <a:gd name="connsiteX148" fmla="*/ 742467 w 1254402"/>
              <a:gd name="connsiteY148" fmla="*/ 19318 h 91439"/>
              <a:gd name="connsiteX149" fmla="*/ 757278 w 1254402"/>
              <a:gd name="connsiteY149" fmla="*/ 19318 h 91439"/>
              <a:gd name="connsiteX150" fmla="*/ 795914 w 1254402"/>
              <a:gd name="connsiteY150" fmla="*/ 31553 h 91439"/>
              <a:gd name="connsiteX151" fmla="*/ 795914 w 1254402"/>
              <a:gd name="connsiteY151" fmla="*/ 46364 h 91439"/>
              <a:gd name="connsiteX152" fmla="*/ 806861 w 1254402"/>
              <a:gd name="connsiteY152" fmla="*/ 58599 h 91439"/>
              <a:gd name="connsiteX153" fmla="*/ 819740 w 1254402"/>
              <a:gd name="connsiteY153" fmla="*/ 57955 h 91439"/>
              <a:gd name="connsiteX154" fmla="*/ 819740 w 1254402"/>
              <a:gd name="connsiteY154" fmla="*/ 69546 h 91439"/>
              <a:gd name="connsiteX155" fmla="*/ 802354 w 1254402"/>
              <a:gd name="connsiteY155" fmla="*/ 70834 h 91439"/>
              <a:gd name="connsiteX156" fmla="*/ 781104 w 1254402"/>
              <a:gd name="connsiteY156" fmla="*/ 54735 h 91439"/>
              <a:gd name="connsiteX157" fmla="*/ 781104 w 1254402"/>
              <a:gd name="connsiteY157" fmla="*/ 31553 h 91439"/>
              <a:gd name="connsiteX158" fmla="*/ 767581 w 1254402"/>
              <a:gd name="connsiteY158" fmla="*/ 31553 h 91439"/>
              <a:gd name="connsiteX159" fmla="*/ 767581 w 1254402"/>
              <a:gd name="connsiteY159" fmla="*/ 19318 h 91439"/>
              <a:gd name="connsiteX160" fmla="*/ 781104 w 1254402"/>
              <a:gd name="connsiteY160" fmla="*/ 19318 h 91439"/>
              <a:gd name="connsiteX161" fmla="*/ 781104 w 1254402"/>
              <a:gd name="connsiteY161" fmla="*/ 9015 h 91439"/>
              <a:gd name="connsiteX162" fmla="*/ 795914 w 1254402"/>
              <a:gd name="connsiteY162" fmla="*/ 4508 h 91439"/>
              <a:gd name="connsiteX163" fmla="*/ 795914 w 1254402"/>
              <a:gd name="connsiteY163" fmla="*/ 19318 h 91439"/>
              <a:gd name="connsiteX164" fmla="*/ 819740 w 1254402"/>
              <a:gd name="connsiteY164" fmla="*/ 19318 h 91439"/>
              <a:gd name="connsiteX165" fmla="*/ 819740 w 1254402"/>
              <a:gd name="connsiteY165" fmla="*/ 31553 h 91439"/>
              <a:gd name="connsiteX166" fmla="*/ 795914 w 1254402"/>
              <a:gd name="connsiteY166" fmla="*/ 31553 h 91439"/>
              <a:gd name="connsiteX167" fmla="*/ 898301 w 1254402"/>
              <a:gd name="connsiteY167" fmla="*/ 44432 h 91439"/>
              <a:gd name="connsiteX168" fmla="*/ 898301 w 1254402"/>
              <a:gd name="connsiteY168" fmla="*/ 70190 h 91439"/>
              <a:gd name="connsiteX169" fmla="*/ 883491 w 1254402"/>
              <a:gd name="connsiteY169" fmla="*/ 70190 h 91439"/>
              <a:gd name="connsiteX170" fmla="*/ 883491 w 1254402"/>
              <a:gd name="connsiteY170" fmla="*/ 63750 h 91439"/>
              <a:gd name="connsiteX171" fmla="*/ 852581 w 1254402"/>
              <a:gd name="connsiteY171" fmla="*/ 70834 h 91439"/>
              <a:gd name="connsiteX172" fmla="*/ 829400 w 1254402"/>
              <a:gd name="connsiteY172" fmla="*/ 54735 h 91439"/>
              <a:gd name="connsiteX173" fmla="*/ 860309 w 1254402"/>
              <a:gd name="connsiteY173" fmla="*/ 37349 h 91439"/>
              <a:gd name="connsiteX174" fmla="*/ 883491 w 1254402"/>
              <a:gd name="connsiteY174" fmla="*/ 41212 h 91439"/>
              <a:gd name="connsiteX175" fmla="*/ 864172 w 1254402"/>
              <a:gd name="connsiteY175" fmla="*/ 30909 h 91439"/>
              <a:gd name="connsiteX176" fmla="*/ 839059 w 1254402"/>
              <a:gd name="connsiteY176" fmla="*/ 34773 h 91439"/>
              <a:gd name="connsiteX177" fmla="*/ 833907 w 1254402"/>
              <a:gd name="connsiteY177" fmla="*/ 23826 h 91439"/>
              <a:gd name="connsiteX178" fmla="*/ 864816 w 1254402"/>
              <a:gd name="connsiteY178" fmla="*/ 18674 h 91439"/>
              <a:gd name="connsiteX179" fmla="*/ 898301 w 1254402"/>
              <a:gd name="connsiteY179" fmla="*/ 44432 h 91439"/>
              <a:gd name="connsiteX180" fmla="*/ 883491 w 1254402"/>
              <a:gd name="connsiteY180" fmla="*/ 50228 h 91439"/>
              <a:gd name="connsiteX181" fmla="*/ 862241 w 1254402"/>
              <a:gd name="connsiteY181" fmla="*/ 47008 h 91439"/>
              <a:gd name="connsiteX182" fmla="*/ 844854 w 1254402"/>
              <a:gd name="connsiteY182" fmla="*/ 54091 h 91439"/>
              <a:gd name="connsiteX183" fmla="*/ 857733 w 1254402"/>
              <a:gd name="connsiteY183" fmla="*/ 59887 h 91439"/>
              <a:gd name="connsiteX184" fmla="*/ 884135 w 1254402"/>
              <a:gd name="connsiteY184" fmla="*/ 54091 h 91439"/>
              <a:gd name="connsiteX185" fmla="*/ 884135 w 1254402"/>
              <a:gd name="connsiteY185" fmla="*/ 50228 h 91439"/>
              <a:gd name="connsiteX186" fmla="*/ 925347 w 1254402"/>
              <a:gd name="connsiteY186" fmla="*/ 644 h 91439"/>
              <a:gd name="connsiteX187" fmla="*/ 925347 w 1254402"/>
              <a:gd name="connsiteY187" fmla="*/ 69546 h 91439"/>
              <a:gd name="connsiteX188" fmla="*/ 910536 w 1254402"/>
              <a:gd name="connsiteY188" fmla="*/ 69546 h 91439"/>
              <a:gd name="connsiteX189" fmla="*/ 910536 w 1254402"/>
              <a:gd name="connsiteY189" fmla="*/ 644 h 91439"/>
              <a:gd name="connsiteX190" fmla="*/ 925347 w 1254402"/>
              <a:gd name="connsiteY190" fmla="*/ 644 h 91439"/>
              <a:gd name="connsiteX191" fmla="*/ 1009704 w 1254402"/>
              <a:gd name="connsiteY191" fmla="*/ 19318 h 91439"/>
              <a:gd name="connsiteX192" fmla="*/ 1030954 w 1254402"/>
              <a:gd name="connsiteY192" fmla="*/ 19318 h 91439"/>
              <a:gd name="connsiteX193" fmla="*/ 1030954 w 1254402"/>
              <a:gd name="connsiteY193" fmla="*/ 31553 h 91439"/>
              <a:gd name="connsiteX194" fmla="*/ 1009704 w 1254402"/>
              <a:gd name="connsiteY194" fmla="*/ 31553 h 91439"/>
              <a:gd name="connsiteX195" fmla="*/ 1009704 w 1254402"/>
              <a:gd name="connsiteY195" fmla="*/ 70190 h 91439"/>
              <a:gd name="connsiteX196" fmla="*/ 994893 w 1254402"/>
              <a:gd name="connsiteY196" fmla="*/ 70190 h 91439"/>
              <a:gd name="connsiteX197" fmla="*/ 994893 w 1254402"/>
              <a:gd name="connsiteY197" fmla="*/ 31553 h 91439"/>
              <a:gd name="connsiteX198" fmla="*/ 981370 w 1254402"/>
              <a:gd name="connsiteY198" fmla="*/ 31553 h 91439"/>
              <a:gd name="connsiteX199" fmla="*/ 981370 w 1254402"/>
              <a:gd name="connsiteY199" fmla="*/ 19318 h 91439"/>
              <a:gd name="connsiteX200" fmla="*/ 994893 w 1254402"/>
              <a:gd name="connsiteY200" fmla="*/ 19318 h 91439"/>
              <a:gd name="connsiteX201" fmla="*/ 994893 w 1254402"/>
              <a:gd name="connsiteY201" fmla="*/ 15455 h 91439"/>
              <a:gd name="connsiteX202" fmla="*/ 1016143 w 1254402"/>
              <a:gd name="connsiteY202" fmla="*/ 0 h 91439"/>
              <a:gd name="connsiteX203" fmla="*/ 1031598 w 1254402"/>
              <a:gd name="connsiteY203" fmla="*/ 644 h 91439"/>
              <a:gd name="connsiteX204" fmla="*/ 1031598 w 1254402"/>
              <a:gd name="connsiteY204" fmla="*/ 10947 h 91439"/>
              <a:gd name="connsiteX205" fmla="*/ 1021295 w 1254402"/>
              <a:gd name="connsiteY205" fmla="*/ 10303 h 91439"/>
              <a:gd name="connsiteX206" fmla="*/ 1009704 w 1254402"/>
              <a:gd name="connsiteY206" fmla="*/ 19318 h 91439"/>
              <a:gd name="connsiteX207" fmla="*/ 1056712 w 1254402"/>
              <a:gd name="connsiteY207" fmla="*/ 644 h 91439"/>
              <a:gd name="connsiteX208" fmla="*/ 1056712 w 1254402"/>
              <a:gd name="connsiteY208" fmla="*/ 69546 h 91439"/>
              <a:gd name="connsiteX209" fmla="*/ 1041901 w 1254402"/>
              <a:gd name="connsiteY209" fmla="*/ 69546 h 91439"/>
              <a:gd name="connsiteX210" fmla="*/ 1041901 w 1254402"/>
              <a:gd name="connsiteY210" fmla="*/ 644 h 91439"/>
              <a:gd name="connsiteX211" fmla="*/ 1056712 w 1254402"/>
              <a:gd name="connsiteY211" fmla="*/ 644 h 91439"/>
              <a:gd name="connsiteX212" fmla="*/ 1067659 w 1254402"/>
              <a:gd name="connsiteY212" fmla="*/ 44432 h 91439"/>
              <a:gd name="connsiteX213" fmla="*/ 1103076 w 1254402"/>
              <a:gd name="connsiteY213" fmla="*/ 18030 h 91439"/>
              <a:gd name="connsiteX214" fmla="*/ 1138493 w 1254402"/>
              <a:gd name="connsiteY214" fmla="*/ 44432 h 91439"/>
              <a:gd name="connsiteX215" fmla="*/ 1103076 w 1254402"/>
              <a:gd name="connsiteY215" fmla="*/ 70834 h 91439"/>
              <a:gd name="connsiteX216" fmla="*/ 1067659 w 1254402"/>
              <a:gd name="connsiteY216" fmla="*/ 44432 h 91439"/>
              <a:gd name="connsiteX217" fmla="*/ 1123038 w 1254402"/>
              <a:gd name="connsiteY217" fmla="*/ 44432 h 91439"/>
              <a:gd name="connsiteX218" fmla="*/ 1102432 w 1254402"/>
              <a:gd name="connsiteY218" fmla="*/ 30265 h 91439"/>
              <a:gd name="connsiteX219" fmla="*/ 1081825 w 1254402"/>
              <a:gd name="connsiteY219" fmla="*/ 44432 h 91439"/>
              <a:gd name="connsiteX220" fmla="*/ 1102432 w 1254402"/>
              <a:gd name="connsiteY220" fmla="*/ 58599 h 91439"/>
              <a:gd name="connsiteX221" fmla="*/ 1123038 w 1254402"/>
              <a:gd name="connsiteY221" fmla="*/ 44432 h 91439"/>
              <a:gd name="connsiteX222" fmla="*/ 1254402 w 1254402"/>
              <a:gd name="connsiteY222" fmla="*/ 19318 h 91439"/>
              <a:gd name="connsiteX223" fmla="*/ 1231864 w 1254402"/>
              <a:gd name="connsiteY223" fmla="*/ 70190 h 91439"/>
              <a:gd name="connsiteX224" fmla="*/ 1211902 w 1254402"/>
              <a:gd name="connsiteY224" fmla="*/ 70190 h 91439"/>
              <a:gd name="connsiteX225" fmla="*/ 1197091 w 1254402"/>
              <a:gd name="connsiteY225" fmla="*/ 34773 h 91439"/>
              <a:gd name="connsiteX226" fmla="*/ 1182281 w 1254402"/>
              <a:gd name="connsiteY226" fmla="*/ 70190 h 91439"/>
              <a:gd name="connsiteX227" fmla="*/ 1162318 w 1254402"/>
              <a:gd name="connsiteY227" fmla="*/ 70190 h 91439"/>
              <a:gd name="connsiteX228" fmla="*/ 1139780 w 1254402"/>
              <a:gd name="connsiteY228" fmla="*/ 19318 h 91439"/>
              <a:gd name="connsiteX229" fmla="*/ 1156523 w 1254402"/>
              <a:gd name="connsiteY229" fmla="*/ 19318 h 91439"/>
              <a:gd name="connsiteX230" fmla="*/ 1173265 w 1254402"/>
              <a:gd name="connsiteY230" fmla="*/ 58599 h 91439"/>
              <a:gd name="connsiteX231" fmla="*/ 1188720 w 1254402"/>
              <a:gd name="connsiteY231" fmla="*/ 19318 h 91439"/>
              <a:gd name="connsiteX232" fmla="*/ 1206107 w 1254402"/>
              <a:gd name="connsiteY232" fmla="*/ 19318 h 91439"/>
              <a:gd name="connsiteX233" fmla="*/ 1221561 w 1254402"/>
              <a:gd name="connsiteY233" fmla="*/ 57955 h 91439"/>
              <a:gd name="connsiteX234" fmla="*/ 1238304 w 1254402"/>
              <a:gd name="connsiteY234" fmla="*/ 18674 h 91439"/>
              <a:gd name="connsiteX235" fmla="*/ 1254402 w 1254402"/>
              <a:gd name="connsiteY235" fmla="*/ 18674 h 914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</a:cxnLst>
            <a:rect l="l" t="t" r="r" b="b"/>
            <a:pathLst>
              <a:path w="1254402" h="91439">
                <a:moveTo>
                  <a:pt x="70834" y="31553"/>
                </a:moveTo>
                <a:cubicBezTo>
                  <a:pt x="70834" y="45076"/>
                  <a:pt x="61175" y="53447"/>
                  <a:pt x="47652" y="53447"/>
                </a:cubicBezTo>
                <a:lnTo>
                  <a:pt x="15455" y="53447"/>
                </a:lnTo>
                <a:lnTo>
                  <a:pt x="15455" y="69546"/>
                </a:lnTo>
                <a:lnTo>
                  <a:pt x="0" y="69546"/>
                </a:lnTo>
                <a:lnTo>
                  <a:pt x="0" y="9015"/>
                </a:lnTo>
                <a:lnTo>
                  <a:pt x="47652" y="9015"/>
                </a:lnTo>
                <a:cubicBezTo>
                  <a:pt x="61175" y="9659"/>
                  <a:pt x="70834" y="18030"/>
                  <a:pt x="70834" y="31553"/>
                </a:cubicBezTo>
                <a:close/>
                <a:moveTo>
                  <a:pt x="55379" y="31553"/>
                </a:moveTo>
                <a:cubicBezTo>
                  <a:pt x="55379" y="22538"/>
                  <a:pt x="48296" y="22538"/>
                  <a:pt x="43788" y="22538"/>
                </a:cubicBezTo>
                <a:lnTo>
                  <a:pt x="16099" y="22538"/>
                </a:lnTo>
                <a:lnTo>
                  <a:pt x="16099" y="40568"/>
                </a:lnTo>
                <a:lnTo>
                  <a:pt x="43144" y="40568"/>
                </a:lnTo>
                <a:cubicBezTo>
                  <a:pt x="48296" y="40568"/>
                  <a:pt x="55379" y="40568"/>
                  <a:pt x="55379" y="31553"/>
                </a:cubicBezTo>
                <a:close/>
                <a:moveTo>
                  <a:pt x="79849" y="44432"/>
                </a:moveTo>
                <a:cubicBezTo>
                  <a:pt x="79849" y="25758"/>
                  <a:pt x="94016" y="18030"/>
                  <a:pt x="115266" y="18030"/>
                </a:cubicBezTo>
                <a:cubicBezTo>
                  <a:pt x="136516" y="18030"/>
                  <a:pt x="150683" y="25758"/>
                  <a:pt x="150683" y="44432"/>
                </a:cubicBezTo>
                <a:cubicBezTo>
                  <a:pt x="150683" y="63106"/>
                  <a:pt x="136516" y="70834"/>
                  <a:pt x="115266" y="70834"/>
                </a:cubicBezTo>
                <a:cubicBezTo>
                  <a:pt x="94016" y="70834"/>
                  <a:pt x="79849" y="63106"/>
                  <a:pt x="79849" y="44432"/>
                </a:cubicBezTo>
                <a:close/>
                <a:moveTo>
                  <a:pt x="135228" y="44432"/>
                </a:moveTo>
                <a:cubicBezTo>
                  <a:pt x="135228" y="34129"/>
                  <a:pt x="128789" y="30265"/>
                  <a:pt x="114622" y="30265"/>
                </a:cubicBezTo>
                <a:cubicBezTo>
                  <a:pt x="101099" y="30265"/>
                  <a:pt x="94016" y="33485"/>
                  <a:pt x="94016" y="44432"/>
                </a:cubicBezTo>
                <a:cubicBezTo>
                  <a:pt x="94016" y="54735"/>
                  <a:pt x="100455" y="58599"/>
                  <a:pt x="114622" y="58599"/>
                </a:cubicBezTo>
                <a:cubicBezTo>
                  <a:pt x="128789" y="58599"/>
                  <a:pt x="135228" y="54735"/>
                  <a:pt x="135228" y="44432"/>
                </a:cubicBezTo>
                <a:close/>
                <a:moveTo>
                  <a:pt x="173221" y="52159"/>
                </a:moveTo>
                <a:cubicBezTo>
                  <a:pt x="173221" y="57311"/>
                  <a:pt x="179016" y="59887"/>
                  <a:pt x="195115" y="59887"/>
                </a:cubicBezTo>
                <a:cubicBezTo>
                  <a:pt x="211214" y="59887"/>
                  <a:pt x="213789" y="58599"/>
                  <a:pt x="213789" y="54735"/>
                </a:cubicBezTo>
                <a:cubicBezTo>
                  <a:pt x="213789" y="50872"/>
                  <a:pt x="211214" y="50872"/>
                  <a:pt x="193827" y="49584"/>
                </a:cubicBezTo>
                <a:cubicBezTo>
                  <a:pt x="171289" y="48296"/>
                  <a:pt x="160342" y="46364"/>
                  <a:pt x="160342" y="34129"/>
                </a:cubicBezTo>
                <a:cubicBezTo>
                  <a:pt x="160342" y="20606"/>
                  <a:pt x="175797" y="18674"/>
                  <a:pt x="193827" y="18674"/>
                </a:cubicBezTo>
                <a:cubicBezTo>
                  <a:pt x="213145" y="18674"/>
                  <a:pt x="226668" y="21250"/>
                  <a:pt x="226668" y="35417"/>
                </a:cubicBezTo>
                <a:lnTo>
                  <a:pt x="211857" y="35417"/>
                </a:lnTo>
                <a:cubicBezTo>
                  <a:pt x="211857" y="30909"/>
                  <a:pt x="206706" y="30265"/>
                  <a:pt x="192539" y="30265"/>
                </a:cubicBezTo>
                <a:cubicBezTo>
                  <a:pt x="178372" y="30265"/>
                  <a:pt x="174509" y="31553"/>
                  <a:pt x="174509" y="34129"/>
                </a:cubicBezTo>
                <a:cubicBezTo>
                  <a:pt x="174509" y="37349"/>
                  <a:pt x="177085" y="37993"/>
                  <a:pt x="194471" y="39281"/>
                </a:cubicBezTo>
                <a:cubicBezTo>
                  <a:pt x="214433" y="40568"/>
                  <a:pt x="227956" y="41212"/>
                  <a:pt x="227956" y="54735"/>
                </a:cubicBezTo>
                <a:cubicBezTo>
                  <a:pt x="227956" y="68902"/>
                  <a:pt x="215077" y="71478"/>
                  <a:pt x="195759" y="71478"/>
                </a:cubicBezTo>
                <a:cubicBezTo>
                  <a:pt x="176441" y="71478"/>
                  <a:pt x="158410" y="68902"/>
                  <a:pt x="158410" y="52803"/>
                </a:cubicBezTo>
                <a:lnTo>
                  <a:pt x="173221" y="52803"/>
                </a:lnTo>
                <a:close/>
                <a:moveTo>
                  <a:pt x="254358" y="644"/>
                </a:moveTo>
                <a:lnTo>
                  <a:pt x="254358" y="13523"/>
                </a:lnTo>
                <a:lnTo>
                  <a:pt x="239547" y="13523"/>
                </a:lnTo>
                <a:lnTo>
                  <a:pt x="239547" y="644"/>
                </a:lnTo>
                <a:lnTo>
                  <a:pt x="254358" y="644"/>
                </a:lnTo>
                <a:close/>
                <a:moveTo>
                  <a:pt x="254358" y="19318"/>
                </a:moveTo>
                <a:lnTo>
                  <a:pt x="254358" y="70190"/>
                </a:lnTo>
                <a:lnTo>
                  <a:pt x="239547" y="70190"/>
                </a:lnTo>
                <a:lnTo>
                  <a:pt x="239547" y="19318"/>
                </a:lnTo>
                <a:lnTo>
                  <a:pt x="254358" y="19318"/>
                </a:lnTo>
                <a:close/>
                <a:moveTo>
                  <a:pt x="292994" y="31553"/>
                </a:moveTo>
                <a:lnTo>
                  <a:pt x="292994" y="46364"/>
                </a:lnTo>
                <a:cubicBezTo>
                  <a:pt x="292994" y="56023"/>
                  <a:pt x="294926" y="58599"/>
                  <a:pt x="303941" y="58599"/>
                </a:cubicBezTo>
                <a:cubicBezTo>
                  <a:pt x="308449" y="58599"/>
                  <a:pt x="311025" y="58599"/>
                  <a:pt x="316820" y="57955"/>
                </a:cubicBezTo>
                <a:lnTo>
                  <a:pt x="316820" y="69546"/>
                </a:lnTo>
                <a:cubicBezTo>
                  <a:pt x="311669" y="70190"/>
                  <a:pt x="306517" y="70834"/>
                  <a:pt x="299434" y="70834"/>
                </a:cubicBezTo>
                <a:cubicBezTo>
                  <a:pt x="286555" y="70834"/>
                  <a:pt x="278184" y="65682"/>
                  <a:pt x="278184" y="54735"/>
                </a:cubicBezTo>
                <a:lnTo>
                  <a:pt x="278184" y="31553"/>
                </a:lnTo>
                <a:lnTo>
                  <a:pt x="264661" y="31553"/>
                </a:lnTo>
                <a:lnTo>
                  <a:pt x="264661" y="19318"/>
                </a:lnTo>
                <a:lnTo>
                  <a:pt x="278184" y="19318"/>
                </a:lnTo>
                <a:lnTo>
                  <a:pt x="278184" y="9015"/>
                </a:lnTo>
                <a:lnTo>
                  <a:pt x="292994" y="4508"/>
                </a:lnTo>
                <a:lnTo>
                  <a:pt x="292994" y="19318"/>
                </a:lnTo>
                <a:lnTo>
                  <a:pt x="316820" y="19318"/>
                </a:lnTo>
                <a:lnTo>
                  <a:pt x="316820" y="31553"/>
                </a:lnTo>
                <a:lnTo>
                  <a:pt x="292994" y="31553"/>
                </a:lnTo>
                <a:close/>
                <a:moveTo>
                  <a:pt x="342578" y="644"/>
                </a:moveTo>
                <a:lnTo>
                  <a:pt x="342578" y="13523"/>
                </a:lnTo>
                <a:lnTo>
                  <a:pt x="327767" y="13523"/>
                </a:lnTo>
                <a:lnTo>
                  <a:pt x="327767" y="644"/>
                </a:lnTo>
                <a:lnTo>
                  <a:pt x="342578" y="644"/>
                </a:lnTo>
                <a:close/>
                <a:moveTo>
                  <a:pt x="342578" y="19318"/>
                </a:moveTo>
                <a:lnTo>
                  <a:pt x="342578" y="70190"/>
                </a:lnTo>
                <a:lnTo>
                  <a:pt x="327767" y="70190"/>
                </a:lnTo>
                <a:lnTo>
                  <a:pt x="327767" y="19318"/>
                </a:lnTo>
                <a:lnTo>
                  <a:pt x="342578" y="19318"/>
                </a:lnTo>
                <a:close/>
                <a:moveTo>
                  <a:pt x="424359" y="19318"/>
                </a:moveTo>
                <a:lnTo>
                  <a:pt x="398601" y="70190"/>
                </a:lnTo>
                <a:lnTo>
                  <a:pt x="377995" y="70190"/>
                </a:lnTo>
                <a:lnTo>
                  <a:pt x="352237" y="19318"/>
                </a:lnTo>
                <a:lnTo>
                  <a:pt x="368336" y="19318"/>
                </a:lnTo>
                <a:lnTo>
                  <a:pt x="388298" y="59887"/>
                </a:lnTo>
                <a:lnTo>
                  <a:pt x="408260" y="19318"/>
                </a:lnTo>
                <a:lnTo>
                  <a:pt x="424359" y="19318"/>
                </a:lnTo>
                <a:close/>
                <a:moveTo>
                  <a:pt x="481670" y="51515"/>
                </a:moveTo>
                <a:lnTo>
                  <a:pt x="496481" y="51515"/>
                </a:lnTo>
                <a:cubicBezTo>
                  <a:pt x="493261" y="64394"/>
                  <a:pt x="480382" y="70834"/>
                  <a:pt x="461708" y="70834"/>
                </a:cubicBezTo>
                <a:cubicBezTo>
                  <a:pt x="442389" y="70834"/>
                  <a:pt x="427579" y="63106"/>
                  <a:pt x="427579" y="44432"/>
                </a:cubicBezTo>
                <a:cubicBezTo>
                  <a:pt x="427579" y="25758"/>
                  <a:pt x="442389" y="18030"/>
                  <a:pt x="462995" y="18030"/>
                </a:cubicBezTo>
                <a:cubicBezTo>
                  <a:pt x="482314" y="18030"/>
                  <a:pt x="497768" y="24470"/>
                  <a:pt x="497768" y="47652"/>
                </a:cubicBezTo>
                <a:lnTo>
                  <a:pt x="442389" y="47652"/>
                </a:lnTo>
                <a:cubicBezTo>
                  <a:pt x="444321" y="56023"/>
                  <a:pt x="452048" y="58599"/>
                  <a:pt x="461708" y="58599"/>
                </a:cubicBezTo>
                <a:cubicBezTo>
                  <a:pt x="471367" y="58599"/>
                  <a:pt x="477806" y="56667"/>
                  <a:pt x="481670" y="51515"/>
                </a:cubicBezTo>
                <a:close/>
                <a:moveTo>
                  <a:pt x="442389" y="38637"/>
                </a:moveTo>
                <a:lnTo>
                  <a:pt x="481026" y="38637"/>
                </a:lnTo>
                <a:cubicBezTo>
                  <a:pt x="478450" y="31553"/>
                  <a:pt x="471367" y="29621"/>
                  <a:pt x="461708" y="29621"/>
                </a:cubicBezTo>
                <a:cubicBezTo>
                  <a:pt x="452048" y="29621"/>
                  <a:pt x="444965" y="31553"/>
                  <a:pt x="442389" y="38637"/>
                </a:cubicBezTo>
                <a:close/>
                <a:moveTo>
                  <a:pt x="622694" y="644"/>
                </a:moveTo>
                <a:lnTo>
                  <a:pt x="622694" y="69546"/>
                </a:lnTo>
                <a:lnTo>
                  <a:pt x="607883" y="69546"/>
                </a:lnTo>
                <a:lnTo>
                  <a:pt x="607883" y="61819"/>
                </a:lnTo>
                <a:cubicBezTo>
                  <a:pt x="602087" y="67614"/>
                  <a:pt x="593716" y="70834"/>
                  <a:pt x="582769" y="70834"/>
                </a:cubicBezTo>
                <a:cubicBezTo>
                  <a:pt x="566670" y="70834"/>
                  <a:pt x="552504" y="63750"/>
                  <a:pt x="552504" y="44432"/>
                </a:cubicBezTo>
                <a:cubicBezTo>
                  <a:pt x="552504" y="25114"/>
                  <a:pt x="566670" y="18030"/>
                  <a:pt x="582769" y="18030"/>
                </a:cubicBezTo>
                <a:cubicBezTo>
                  <a:pt x="593716" y="18030"/>
                  <a:pt x="602731" y="21250"/>
                  <a:pt x="607883" y="27046"/>
                </a:cubicBezTo>
                <a:lnTo>
                  <a:pt x="607883" y="644"/>
                </a:lnTo>
                <a:lnTo>
                  <a:pt x="622694" y="644"/>
                </a:lnTo>
                <a:close/>
                <a:moveTo>
                  <a:pt x="607883" y="44432"/>
                </a:moveTo>
                <a:cubicBezTo>
                  <a:pt x="607883" y="34129"/>
                  <a:pt x="600800" y="30265"/>
                  <a:pt x="587277" y="30265"/>
                </a:cubicBezTo>
                <a:cubicBezTo>
                  <a:pt x="574398" y="30265"/>
                  <a:pt x="566670" y="34129"/>
                  <a:pt x="566670" y="44432"/>
                </a:cubicBezTo>
                <a:cubicBezTo>
                  <a:pt x="566670" y="54735"/>
                  <a:pt x="573754" y="58599"/>
                  <a:pt x="587277" y="58599"/>
                </a:cubicBezTo>
                <a:cubicBezTo>
                  <a:pt x="600800" y="58599"/>
                  <a:pt x="607883" y="54735"/>
                  <a:pt x="607883" y="44432"/>
                </a:cubicBezTo>
                <a:close/>
                <a:moveTo>
                  <a:pt x="649739" y="644"/>
                </a:moveTo>
                <a:lnTo>
                  <a:pt x="649739" y="13523"/>
                </a:lnTo>
                <a:lnTo>
                  <a:pt x="634928" y="13523"/>
                </a:lnTo>
                <a:lnTo>
                  <a:pt x="634928" y="644"/>
                </a:lnTo>
                <a:lnTo>
                  <a:pt x="649739" y="644"/>
                </a:lnTo>
                <a:close/>
                <a:moveTo>
                  <a:pt x="649739" y="19318"/>
                </a:moveTo>
                <a:lnTo>
                  <a:pt x="649739" y="70190"/>
                </a:lnTo>
                <a:lnTo>
                  <a:pt x="634928" y="70190"/>
                </a:lnTo>
                <a:lnTo>
                  <a:pt x="634928" y="19318"/>
                </a:lnTo>
                <a:lnTo>
                  <a:pt x="649739" y="19318"/>
                </a:lnTo>
                <a:close/>
                <a:moveTo>
                  <a:pt x="730876" y="19318"/>
                </a:moveTo>
                <a:lnTo>
                  <a:pt x="730876" y="61819"/>
                </a:lnTo>
                <a:cubicBezTo>
                  <a:pt x="730876" y="82425"/>
                  <a:pt x="716709" y="91440"/>
                  <a:pt x="698035" y="91440"/>
                </a:cubicBezTo>
                <a:cubicBezTo>
                  <a:pt x="683224" y="91440"/>
                  <a:pt x="670989" y="88864"/>
                  <a:pt x="666482" y="87576"/>
                </a:cubicBezTo>
                <a:lnTo>
                  <a:pt x="666482" y="75985"/>
                </a:lnTo>
                <a:cubicBezTo>
                  <a:pt x="672277" y="77273"/>
                  <a:pt x="683868" y="79849"/>
                  <a:pt x="694815" y="79849"/>
                </a:cubicBezTo>
                <a:cubicBezTo>
                  <a:pt x="710270" y="79849"/>
                  <a:pt x="716065" y="74053"/>
                  <a:pt x="716065" y="61175"/>
                </a:cubicBezTo>
                <a:cubicBezTo>
                  <a:pt x="710914" y="66970"/>
                  <a:pt x="702543" y="70190"/>
                  <a:pt x="690308" y="70190"/>
                </a:cubicBezTo>
                <a:cubicBezTo>
                  <a:pt x="672921" y="70190"/>
                  <a:pt x="660686" y="62463"/>
                  <a:pt x="660686" y="44432"/>
                </a:cubicBezTo>
                <a:cubicBezTo>
                  <a:pt x="660686" y="26402"/>
                  <a:pt x="672921" y="18674"/>
                  <a:pt x="690308" y="18674"/>
                </a:cubicBezTo>
                <a:cubicBezTo>
                  <a:pt x="702543" y="18674"/>
                  <a:pt x="710914" y="21894"/>
                  <a:pt x="716065" y="27690"/>
                </a:cubicBezTo>
                <a:lnTo>
                  <a:pt x="716065" y="19318"/>
                </a:lnTo>
                <a:lnTo>
                  <a:pt x="730876" y="19318"/>
                </a:lnTo>
                <a:close/>
                <a:moveTo>
                  <a:pt x="715421" y="43788"/>
                </a:moveTo>
                <a:cubicBezTo>
                  <a:pt x="715421" y="34773"/>
                  <a:pt x="708982" y="30909"/>
                  <a:pt x="694815" y="30909"/>
                </a:cubicBezTo>
                <a:cubicBezTo>
                  <a:pt x="680648" y="30909"/>
                  <a:pt x="674209" y="34773"/>
                  <a:pt x="674209" y="43788"/>
                </a:cubicBezTo>
                <a:cubicBezTo>
                  <a:pt x="674209" y="52803"/>
                  <a:pt x="680648" y="56667"/>
                  <a:pt x="694815" y="56667"/>
                </a:cubicBezTo>
                <a:cubicBezTo>
                  <a:pt x="708982" y="56667"/>
                  <a:pt x="715421" y="52803"/>
                  <a:pt x="715421" y="43788"/>
                </a:cubicBezTo>
                <a:close/>
                <a:moveTo>
                  <a:pt x="757278" y="644"/>
                </a:moveTo>
                <a:lnTo>
                  <a:pt x="757278" y="13523"/>
                </a:lnTo>
                <a:lnTo>
                  <a:pt x="742467" y="13523"/>
                </a:lnTo>
                <a:lnTo>
                  <a:pt x="742467" y="644"/>
                </a:lnTo>
                <a:lnTo>
                  <a:pt x="757278" y="644"/>
                </a:lnTo>
                <a:close/>
                <a:moveTo>
                  <a:pt x="757278" y="19318"/>
                </a:moveTo>
                <a:lnTo>
                  <a:pt x="757278" y="70190"/>
                </a:lnTo>
                <a:lnTo>
                  <a:pt x="742467" y="70190"/>
                </a:lnTo>
                <a:lnTo>
                  <a:pt x="742467" y="19318"/>
                </a:lnTo>
                <a:lnTo>
                  <a:pt x="757278" y="19318"/>
                </a:lnTo>
                <a:close/>
                <a:moveTo>
                  <a:pt x="795914" y="31553"/>
                </a:moveTo>
                <a:lnTo>
                  <a:pt x="795914" y="46364"/>
                </a:lnTo>
                <a:cubicBezTo>
                  <a:pt x="795914" y="56023"/>
                  <a:pt x="797846" y="58599"/>
                  <a:pt x="806861" y="58599"/>
                </a:cubicBezTo>
                <a:cubicBezTo>
                  <a:pt x="811369" y="58599"/>
                  <a:pt x="813945" y="58599"/>
                  <a:pt x="819740" y="57955"/>
                </a:cubicBezTo>
                <a:lnTo>
                  <a:pt x="819740" y="69546"/>
                </a:lnTo>
                <a:cubicBezTo>
                  <a:pt x="814589" y="70190"/>
                  <a:pt x="809437" y="70834"/>
                  <a:pt x="802354" y="70834"/>
                </a:cubicBezTo>
                <a:cubicBezTo>
                  <a:pt x="789475" y="70834"/>
                  <a:pt x="781104" y="65682"/>
                  <a:pt x="781104" y="54735"/>
                </a:cubicBezTo>
                <a:lnTo>
                  <a:pt x="781104" y="31553"/>
                </a:lnTo>
                <a:lnTo>
                  <a:pt x="767581" y="31553"/>
                </a:lnTo>
                <a:lnTo>
                  <a:pt x="767581" y="19318"/>
                </a:lnTo>
                <a:lnTo>
                  <a:pt x="781104" y="19318"/>
                </a:lnTo>
                <a:lnTo>
                  <a:pt x="781104" y="9015"/>
                </a:lnTo>
                <a:lnTo>
                  <a:pt x="795914" y="4508"/>
                </a:lnTo>
                <a:lnTo>
                  <a:pt x="795914" y="19318"/>
                </a:lnTo>
                <a:lnTo>
                  <a:pt x="819740" y="19318"/>
                </a:lnTo>
                <a:lnTo>
                  <a:pt x="819740" y="31553"/>
                </a:lnTo>
                <a:lnTo>
                  <a:pt x="795914" y="31553"/>
                </a:lnTo>
                <a:close/>
                <a:moveTo>
                  <a:pt x="898301" y="44432"/>
                </a:moveTo>
                <a:lnTo>
                  <a:pt x="898301" y="70190"/>
                </a:lnTo>
                <a:lnTo>
                  <a:pt x="883491" y="70190"/>
                </a:lnTo>
                <a:lnTo>
                  <a:pt x="883491" y="63750"/>
                </a:lnTo>
                <a:cubicBezTo>
                  <a:pt x="874476" y="68258"/>
                  <a:pt x="864816" y="70834"/>
                  <a:pt x="852581" y="70834"/>
                </a:cubicBezTo>
                <a:cubicBezTo>
                  <a:pt x="838415" y="70834"/>
                  <a:pt x="829400" y="66326"/>
                  <a:pt x="829400" y="54735"/>
                </a:cubicBezTo>
                <a:cubicBezTo>
                  <a:pt x="829400" y="41856"/>
                  <a:pt x="843566" y="37349"/>
                  <a:pt x="860309" y="37349"/>
                </a:cubicBezTo>
                <a:cubicBezTo>
                  <a:pt x="869324" y="37349"/>
                  <a:pt x="877051" y="38637"/>
                  <a:pt x="883491" y="41212"/>
                </a:cubicBezTo>
                <a:cubicBezTo>
                  <a:pt x="883491" y="31553"/>
                  <a:pt x="871256" y="30909"/>
                  <a:pt x="864172" y="30909"/>
                </a:cubicBezTo>
                <a:cubicBezTo>
                  <a:pt x="857733" y="30909"/>
                  <a:pt x="849362" y="31553"/>
                  <a:pt x="839059" y="34773"/>
                </a:cubicBezTo>
                <a:lnTo>
                  <a:pt x="833907" y="23826"/>
                </a:lnTo>
                <a:cubicBezTo>
                  <a:pt x="844210" y="20606"/>
                  <a:pt x="854513" y="18674"/>
                  <a:pt x="864816" y="18674"/>
                </a:cubicBezTo>
                <a:cubicBezTo>
                  <a:pt x="886066" y="18030"/>
                  <a:pt x="898301" y="25114"/>
                  <a:pt x="898301" y="44432"/>
                </a:cubicBezTo>
                <a:close/>
                <a:moveTo>
                  <a:pt x="883491" y="50228"/>
                </a:moveTo>
                <a:cubicBezTo>
                  <a:pt x="878339" y="48296"/>
                  <a:pt x="871256" y="47008"/>
                  <a:pt x="862241" y="47008"/>
                </a:cubicBezTo>
                <a:cubicBezTo>
                  <a:pt x="851294" y="47008"/>
                  <a:pt x="844854" y="48940"/>
                  <a:pt x="844854" y="54091"/>
                </a:cubicBezTo>
                <a:cubicBezTo>
                  <a:pt x="844854" y="59243"/>
                  <a:pt x="850006" y="59887"/>
                  <a:pt x="857733" y="59887"/>
                </a:cubicBezTo>
                <a:cubicBezTo>
                  <a:pt x="865460" y="59887"/>
                  <a:pt x="877051" y="57311"/>
                  <a:pt x="884135" y="54091"/>
                </a:cubicBezTo>
                <a:lnTo>
                  <a:pt x="884135" y="50228"/>
                </a:lnTo>
                <a:close/>
                <a:moveTo>
                  <a:pt x="925347" y="644"/>
                </a:moveTo>
                <a:lnTo>
                  <a:pt x="925347" y="69546"/>
                </a:lnTo>
                <a:lnTo>
                  <a:pt x="910536" y="69546"/>
                </a:lnTo>
                <a:lnTo>
                  <a:pt x="910536" y="644"/>
                </a:lnTo>
                <a:lnTo>
                  <a:pt x="925347" y="644"/>
                </a:lnTo>
                <a:close/>
                <a:moveTo>
                  <a:pt x="1009704" y="19318"/>
                </a:moveTo>
                <a:lnTo>
                  <a:pt x="1030954" y="19318"/>
                </a:lnTo>
                <a:lnTo>
                  <a:pt x="1030954" y="31553"/>
                </a:lnTo>
                <a:lnTo>
                  <a:pt x="1009704" y="31553"/>
                </a:lnTo>
                <a:lnTo>
                  <a:pt x="1009704" y="70190"/>
                </a:lnTo>
                <a:lnTo>
                  <a:pt x="994893" y="70190"/>
                </a:lnTo>
                <a:lnTo>
                  <a:pt x="994893" y="31553"/>
                </a:lnTo>
                <a:lnTo>
                  <a:pt x="981370" y="31553"/>
                </a:lnTo>
                <a:lnTo>
                  <a:pt x="981370" y="19318"/>
                </a:lnTo>
                <a:lnTo>
                  <a:pt x="994893" y="19318"/>
                </a:lnTo>
                <a:lnTo>
                  <a:pt x="994893" y="15455"/>
                </a:lnTo>
                <a:cubicBezTo>
                  <a:pt x="994893" y="5152"/>
                  <a:pt x="1001332" y="0"/>
                  <a:pt x="1016143" y="0"/>
                </a:cubicBezTo>
                <a:cubicBezTo>
                  <a:pt x="1021295" y="0"/>
                  <a:pt x="1023870" y="0"/>
                  <a:pt x="1031598" y="644"/>
                </a:cubicBezTo>
                <a:lnTo>
                  <a:pt x="1031598" y="10947"/>
                </a:lnTo>
                <a:cubicBezTo>
                  <a:pt x="1028378" y="10947"/>
                  <a:pt x="1024514" y="10303"/>
                  <a:pt x="1021295" y="10303"/>
                </a:cubicBezTo>
                <a:cubicBezTo>
                  <a:pt x="1012279" y="10947"/>
                  <a:pt x="1009704" y="12879"/>
                  <a:pt x="1009704" y="19318"/>
                </a:cubicBezTo>
                <a:close/>
                <a:moveTo>
                  <a:pt x="1056712" y="644"/>
                </a:moveTo>
                <a:lnTo>
                  <a:pt x="1056712" y="69546"/>
                </a:lnTo>
                <a:lnTo>
                  <a:pt x="1041901" y="69546"/>
                </a:lnTo>
                <a:lnTo>
                  <a:pt x="1041901" y="644"/>
                </a:lnTo>
                <a:lnTo>
                  <a:pt x="1056712" y="644"/>
                </a:lnTo>
                <a:close/>
                <a:moveTo>
                  <a:pt x="1067659" y="44432"/>
                </a:moveTo>
                <a:cubicBezTo>
                  <a:pt x="1067659" y="25758"/>
                  <a:pt x="1081825" y="18030"/>
                  <a:pt x="1103076" y="18030"/>
                </a:cubicBezTo>
                <a:cubicBezTo>
                  <a:pt x="1124326" y="18030"/>
                  <a:pt x="1138493" y="25758"/>
                  <a:pt x="1138493" y="44432"/>
                </a:cubicBezTo>
                <a:cubicBezTo>
                  <a:pt x="1138493" y="63106"/>
                  <a:pt x="1124326" y="70834"/>
                  <a:pt x="1103076" y="70834"/>
                </a:cubicBezTo>
                <a:cubicBezTo>
                  <a:pt x="1081825" y="70834"/>
                  <a:pt x="1067659" y="63106"/>
                  <a:pt x="1067659" y="44432"/>
                </a:cubicBezTo>
                <a:close/>
                <a:moveTo>
                  <a:pt x="1123038" y="44432"/>
                </a:moveTo>
                <a:cubicBezTo>
                  <a:pt x="1123038" y="34129"/>
                  <a:pt x="1116598" y="30265"/>
                  <a:pt x="1102432" y="30265"/>
                </a:cubicBezTo>
                <a:cubicBezTo>
                  <a:pt x="1088909" y="30265"/>
                  <a:pt x="1081825" y="33485"/>
                  <a:pt x="1081825" y="44432"/>
                </a:cubicBezTo>
                <a:cubicBezTo>
                  <a:pt x="1081825" y="54735"/>
                  <a:pt x="1088265" y="58599"/>
                  <a:pt x="1102432" y="58599"/>
                </a:cubicBezTo>
                <a:cubicBezTo>
                  <a:pt x="1115954" y="58599"/>
                  <a:pt x="1123038" y="54735"/>
                  <a:pt x="1123038" y="44432"/>
                </a:cubicBezTo>
                <a:close/>
                <a:moveTo>
                  <a:pt x="1254402" y="19318"/>
                </a:moveTo>
                <a:lnTo>
                  <a:pt x="1231864" y="70190"/>
                </a:lnTo>
                <a:lnTo>
                  <a:pt x="1211902" y="70190"/>
                </a:lnTo>
                <a:lnTo>
                  <a:pt x="1197091" y="34773"/>
                </a:lnTo>
                <a:lnTo>
                  <a:pt x="1182281" y="70190"/>
                </a:lnTo>
                <a:lnTo>
                  <a:pt x="1162318" y="70190"/>
                </a:lnTo>
                <a:lnTo>
                  <a:pt x="1139780" y="19318"/>
                </a:lnTo>
                <a:lnTo>
                  <a:pt x="1156523" y="19318"/>
                </a:lnTo>
                <a:lnTo>
                  <a:pt x="1173265" y="58599"/>
                </a:lnTo>
                <a:lnTo>
                  <a:pt x="1188720" y="19318"/>
                </a:lnTo>
                <a:lnTo>
                  <a:pt x="1206107" y="19318"/>
                </a:lnTo>
                <a:lnTo>
                  <a:pt x="1221561" y="57955"/>
                </a:lnTo>
                <a:lnTo>
                  <a:pt x="1238304" y="18674"/>
                </a:lnTo>
                <a:lnTo>
                  <a:pt x="1254402" y="18674"/>
                </a:lnTo>
                <a:close/>
              </a:path>
            </a:pathLst>
          </a:custGeom>
          <a:solidFill>
            <a:srgbClr val="00AA9B"/>
          </a:solidFill>
          <a:ln w="6439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ES"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grpSp>
        <xdr:nvGrpSpPr>
          <xdr:cNvPr id="14" name="Graphique 9">
            <a:extLst>
              <a:ext uri="{FF2B5EF4-FFF2-40B4-BE49-F238E27FC236}">
                <a16:creationId xmlns:a16="http://schemas.microsoft.com/office/drawing/2014/main" id="{9E743019-696E-490D-90D5-E1C2D2DE4F8B}"/>
              </a:ext>
            </a:extLst>
          </xdr:cNvPr>
          <xdr:cNvGrpSpPr/>
        </xdr:nvGrpSpPr>
        <xdr:grpSpPr>
          <a:xfrm>
            <a:off x="13512800" y="647260"/>
            <a:ext cx="1824935" cy="273031"/>
            <a:chOff x="13512800" y="647260"/>
            <a:chExt cx="1824935" cy="273031"/>
          </a:xfrm>
        </xdr:grpSpPr>
        <xdr:sp macro="" textlink="">
          <xdr:nvSpPr>
            <xdr:cNvPr id="15" name="Forme libre : forme 19">
              <a:extLst>
                <a:ext uri="{FF2B5EF4-FFF2-40B4-BE49-F238E27FC236}">
                  <a16:creationId xmlns:a16="http://schemas.microsoft.com/office/drawing/2014/main" id="{2232ADB2-3857-4155-83A2-7D2710130557}"/>
                </a:ext>
              </a:extLst>
            </xdr:cNvPr>
            <xdr:cNvSpPr/>
          </xdr:nvSpPr>
          <xdr:spPr>
            <a:xfrm>
              <a:off x="13512800" y="647260"/>
              <a:ext cx="1533229" cy="273031"/>
            </a:xfrm>
            <a:custGeom>
              <a:avLst/>
              <a:gdLst>
                <a:gd name="connsiteX0" fmla="*/ 358677 w 1533229"/>
                <a:gd name="connsiteY0" fmla="*/ 169357 h 273031"/>
                <a:gd name="connsiteX1" fmla="*/ 358677 w 1533229"/>
                <a:gd name="connsiteY1" fmla="*/ 269168 h 273031"/>
                <a:gd name="connsiteX2" fmla="*/ 285267 w 1533229"/>
                <a:gd name="connsiteY2" fmla="*/ 269168 h 273031"/>
                <a:gd name="connsiteX3" fmla="*/ 285267 w 1533229"/>
                <a:gd name="connsiteY3" fmla="*/ 198978 h 273031"/>
                <a:gd name="connsiteX4" fmla="*/ 242123 w 1533229"/>
                <a:gd name="connsiteY4" fmla="*/ 154546 h 273031"/>
                <a:gd name="connsiteX5" fmla="*/ 183524 w 1533229"/>
                <a:gd name="connsiteY5" fmla="*/ 177728 h 273031"/>
                <a:gd name="connsiteX6" fmla="*/ 183524 w 1533229"/>
                <a:gd name="connsiteY6" fmla="*/ 269812 h 273031"/>
                <a:gd name="connsiteX7" fmla="*/ 110758 w 1533229"/>
                <a:gd name="connsiteY7" fmla="*/ 269812 h 273031"/>
                <a:gd name="connsiteX8" fmla="*/ 110758 w 1533229"/>
                <a:gd name="connsiteY8" fmla="*/ 92084 h 273031"/>
                <a:gd name="connsiteX9" fmla="*/ 183524 w 1533229"/>
                <a:gd name="connsiteY9" fmla="*/ 92084 h 273031"/>
                <a:gd name="connsiteX10" fmla="*/ 183524 w 1533229"/>
                <a:gd name="connsiteY10" fmla="*/ 117842 h 273031"/>
                <a:gd name="connsiteX11" fmla="*/ 271744 w 1533229"/>
                <a:gd name="connsiteY11" fmla="*/ 90152 h 273031"/>
                <a:gd name="connsiteX12" fmla="*/ 358677 w 1533229"/>
                <a:gd name="connsiteY12" fmla="*/ 169357 h 273031"/>
                <a:gd name="connsiteX13" fmla="*/ 765005 w 1533229"/>
                <a:gd name="connsiteY13" fmla="*/ 36705 h 273031"/>
                <a:gd name="connsiteX14" fmla="*/ 692239 w 1533229"/>
                <a:gd name="connsiteY14" fmla="*/ 36705 h 273031"/>
                <a:gd name="connsiteX15" fmla="*/ 692239 w 1533229"/>
                <a:gd name="connsiteY15" fmla="*/ 92084 h 273031"/>
                <a:gd name="connsiteX16" fmla="*/ 652959 w 1533229"/>
                <a:gd name="connsiteY16" fmla="*/ 92084 h 273031"/>
                <a:gd name="connsiteX17" fmla="*/ 652959 w 1533229"/>
                <a:gd name="connsiteY17" fmla="*/ 151327 h 273031"/>
                <a:gd name="connsiteX18" fmla="*/ 692239 w 1533229"/>
                <a:gd name="connsiteY18" fmla="*/ 151327 h 273031"/>
                <a:gd name="connsiteX19" fmla="*/ 692239 w 1533229"/>
                <a:gd name="connsiteY19" fmla="*/ 269168 h 273031"/>
                <a:gd name="connsiteX20" fmla="*/ 838415 w 1533229"/>
                <a:gd name="connsiteY20" fmla="*/ 269168 h 273031"/>
                <a:gd name="connsiteX21" fmla="*/ 838415 w 1533229"/>
                <a:gd name="connsiteY21" fmla="*/ 209926 h 273031"/>
                <a:gd name="connsiteX22" fmla="*/ 765649 w 1533229"/>
                <a:gd name="connsiteY22" fmla="*/ 209926 h 273031"/>
                <a:gd name="connsiteX23" fmla="*/ 765649 w 1533229"/>
                <a:gd name="connsiteY23" fmla="*/ 151327 h 273031"/>
                <a:gd name="connsiteX24" fmla="*/ 838415 w 1533229"/>
                <a:gd name="connsiteY24" fmla="*/ 151327 h 273031"/>
                <a:gd name="connsiteX25" fmla="*/ 838415 w 1533229"/>
                <a:gd name="connsiteY25" fmla="*/ 92084 h 273031"/>
                <a:gd name="connsiteX26" fmla="*/ 765649 w 1533229"/>
                <a:gd name="connsiteY26" fmla="*/ 92084 h 273031"/>
                <a:gd name="connsiteX27" fmla="*/ 765649 w 1533229"/>
                <a:gd name="connsiteY27" fmla="*/ 36705 h 273031"/>
                <a:gd name="connsiteX28" fmla="*/ 632997 w 1533229"/>
                <a:gd name="connsiteY28" fmla="*/ 192539 h 273031"/>
                <a:gd name="connsiteX29" fmla="*/ 462352 w 1533229"/>
                <a:gd name="connsiteY29" fmla="*/ 192539 h 273031"/>
                <a:gd name="connsiteX30" fmla="*/ 508072 w 1533229"/>
                <a:gd name="connsiteY30" fmla="*/ 216365 h 273031"/>
                <a:gd name="connsiteX31" fmla="*/ 548640 w 1533229"/>
                <a:gd name="connsiteY31" fmla="*/ 209926 h 273031"/>
                <a:gd name="connsiteX32" fmla="*/ 627845 w 1533229"/>
                <a:gd name="connsiteY32" fmla="*/ 209926 h 273031"/>
                <a:gd name="connsiteX33" fmla="*/ 508072 w 1533229"/>
                <a:gd name="connsiteY33" fmla="*/ 273032 h 273031"/>
                <a:gd name="connsiteX34" fmla="*/ 388942 w 1533229"/>
                <a:gd name="connsiteY34" fmla="*/ 180304 h 273031"/>
                <a:gd name="connsiteX35" fmla="*/ 511291 w 1533229"/>
                <a:gd name="connsiteY35" fmla="*/ 87576 h 273031"/>
                <a:gd name="connsiteX36" fmla="*/ 632997 w 1533229"/>
                <a:gd name="connsiteY36" fmla="*/ 192539 h 273031"/>
                <a:gd name="connsiteX37" fmla="*/ 556367 w 1533229"/>
                <a:gd name="connsiteY37" fmla="*/ 152615 h 273031"/>
                <a:gd name="connsiteX38" fmla="*/ 510647 w 1533229"/>
                <a:gd name="connsiteY38" fmla="*/ 135228 h 273031"/>
                <a:gd name="connsiteX39" fmla="*/ 465571 w 1533229"/>
                <a:gd name="connsiteY39" fmla="*/ 152615 h 273031"/>
                <a:gd name="connsiteX40" fmla="*/ 556367 w 1533229"/>
                <a:gd name="connsiteY40" fmla="*/ 152615 h 273031"/>
                <a:gd name="connsiteX41" fmla="*/ 1041901 w 1533229"/>
                <a:gd name="connsiteY41" fmla="*/ 186744 h 273031"/>
                <a:gd name="connsiteX42" fmla="*/ 985878 w 1533229"/>
                <a:gd name="connsiteY42" fmla="*/ 208638 h 273031"/>
                <a:gd name="connsiteX43" fmla="*/ 943377 w 1533229"/>
                <a:gd name="connsiteY43" fmla="*/ 165493 h 273031"/>
                <a:gd name="connsiteX44" fmla="*/ 943377 w 1533229"/>
                <a:gd name="connsiteY44" fmla="*/ 92084 h 273031"/>
                <a:gd name="connsiteX45" fmla="*/ 870612 w 1533229"/>
                <a:gd name="connsiteY45" fmla="*/ 92084 h 273031"/>
                <a:gd name="connsiteX46" fmla="*/ 870612 w 1533229"/>
                <a:gd name="connsiteY46" fmla="*/ 194471 h 273031"/>
                <a:gd name="connsiteX47" fmla="*/ 957544 w 1533229"/>
                <a:gd name="connsiteY47" fmla="*/ 269812 h 273031"/>
                <a:gd name="connsiteX48" fmla="*/ 1041901 w 1533229"/>
                <a:gd name="connsiteY48" fmla="*/ 243411 h 273031"/>
                <a:gd name="connsiteX49" fmla="*/ 1041901 w 1533229"/>
                <a:gd name="connsiteY49" fmla="*/ 268524 h 273031"/>
                <a:gd name="connsiteX50" fmla="*/ 1114667 w 1533229"/>
                <a:gd name="connsiteY50" fmla="*/ 268524 h 273031"/>
                <a:gd name="connsiteX51" fmla="*/ 1114667 w 1533229"/>
                <a:gd name="connsiteY51" fmla="*/ 91440 h 273031"/>
                <a:gd name="connsiteX52" fmla="*/ 1041901 w 1533229"/>
                <a:gd name="connsiteY52" fmla="*/ 91440 h 273031"/>
                <a:gd name="connsiteX53" fmla="*/ 1041901 w 1533229"/>
                <a:gd name="connsiteY53" fmla="*/ 186744 h 273031"/>
                <a:gd name="connsiteX54" fmla="*/ 1457888 w 1533229"/>
                <a:gd name="connsiteY54" fmla="*/ 89508 h 273031"/>
                <a:gd name="connsiteX55" fmla="*/ 1371600 w 1533229"/>
                <a:gd name="connsiteY55" fmla="*/ 123637 h 273031"/>
                <a:gd name="connsiteX56" fmla="*/ 1305274 w 1533229"/>
                <a:gd name="connsiteY56" fmla="*/ 89508 h 273031"/>
                <a:gd name="connsiteX57" fmla="*/ 1225425 w 1533229"/>
                <a:gd name="connsiteY57" fmla="*/ 121705 h 273031"/>
                <a:gd name="connsiteX58" fmla="*/ 1225425 w 1533229"/>
                <a:gd name="connsiteY58" fmla="*/ 92084 h 273031"/>
                <a:gd name="connsiteX59" fmla="*/ 1152659 w 1533229"/>
                <a:gd name="connsiteY59" fmla="*/ 92084 h 273031"/>
                <a:gd name="connsiteX60" fmla="*/ 1152659 w 1533229"/>
                <a:gd name="connsiteY60" fmla="*/ 269168 h 273031"/>
                <a:gd name="connsiteX61" fmla="*/ 1225425 w 1533229"/>
                <a:gd name="connsiteY61" fmla="*/ 269168 h 273031"/>
                <a:gd name="connsiteX62" fmla="*/ 1225425 w 1533229"/>
                <a:gd name="connsiteY62" fmla="*/ 173865 h 273031"/>
                <a:gd name="connsiteX63" fmla="*/ 1273721 w 1533229"/>
                <a:gd name="connsiteY63" fmla="*/ 151327 h 273031"/>
                <a:gd name="connsiteX64" fmla="*/ 1307850 w 1533229"/>
                <a:gd name="connsiteY64" fmla="*/ 194471 h 273031"/>
                <a:gd name="connsiteX65" fmla="*/ 1307850 w 1533229"/>
                <a:gd name="connsiteY65" fmla="*/ 269168 h 273031"/>
                <a:gd name="connsiteX66" fmla="*/ 1380615 w 1533229"/>
                <a:gd name="connsiteY66" fmla="*/ 269168 h 273031"/>
                <a:gd name="connsiteX67" fmla="*/ 1380615 w 1533229"/>
                <a:gd name="connsiteY67" fmla="*/ 171933 h 273031"/>
                <a:gd name="connsiteX68" fmla="*/ 1426335 w 1533229"/>
                <a:gd name="connsiteY68" fmla="*/ 151327 h 273031"/>
                <a:gd name="connsiteX69" fmla="*/ 1460464 w 1533229"/>
                <a:gd name="connsiteY69" fmla="*/ 194471 h 273031"/>
                <a:gd name="connsiteX70" fmla="*/ 1460464 w 1533229"/>
                <a:gd name="connsiteY70" fmla="*/ 269168 h 273031"/>
                <a:gd name="connsiteX71" fmla="*/ 1533230 w 1533229"/>
                <a:gd name="connsiteY71" fmla="*/ 269168 h 273031"/>
                <a:gd name="connsiteX72" fmla="*/ 1533230 w 1533229"/>
                <a:gd name="connsiteY72" fmla="*/ 162918 h 273031"/>
                <a:gd name="connsiteX73" fmla="*/ 1457888 w 1533229"/>
                <a:gd name="connsiteY73" fmla="*/ 89508 h 273031"/>
                <a:gd name="connsiteX74" fmla="*/ 0 w 1533229"/>
                <a:gd name="connsiteY74" fmla="*/ 92084 h 273031"/>
                <a:gd name="connsiteX75" fmla="*/ 0 w 1533229"/>
                <a:gd name="connsiteY75" fmla="*/ 269168 h 273031"/>
                <a:gd name="connsiteX76" fmla="*/ 72766 w 1533229"/>
                <a:gd name="connsiteY76" fmla="*/ 269168 h 273031"/>
                <a:gd name="connsiteX77" fmla="*/ 72766 w 1533229"/>
                <a:gd name="connsiteY77" fmla="*/ 92084 h 273031"/>
                <a:gd name="connsiteX78" fmla="*/ 0 w 1533229"/>
                <a:gd name="connsiteY78" fmla="*/ 92084 h 273031"/>
                <a:gd name="connsiteX79" fmla="*/ 72766 w 1533229"/>
                <a:gd name="connsiteY79" fmla="*/ 0 h 273031"/>
                <a:gd name="connsiteX80" fmla="*/ 0 w 1533229"/>
                <a:gd name="connsiteY80" fmla="*/ 0 h 273031"/>
                <a:gd name="connsiteX81" fmla="*/ 0 w 1533229"/>
                <a:gd name="connsiteY81" fmla="*/ 72766 h 273031"/>
                <a:gd name="connsiteX82" fmla="*/ 72766 w 1533229"/>
                <a:gd name="connsiteY82" fmla="*/ 72766 h 273031"/>
                <a:gd name="connsiteX83" fmla="*/ 72766 w 1533229"/>
                <a:gd name="connsiteY83" fmla="*/ 0 h 2730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  <a:cxn ang="0">
                  <a:pos x="connsiteX66" y="connsiteY66"/>
                </a:cxn>
                <a:cxn ang="0">
                  <a:pos x="connsiteX67" y="connsiteY67"/>
                </a:cxn>
                <a:cxn ang="0">
                  <a:pos x="connsiteX68" y="connsiteY68"/>
                </a:cxn>
                <a:cxn ang="0">
                  <a:pos x="connsiteX69" y="connsiteY69"/>
                </a:cxn>
                <a:cxn ang="0">
                  <a:pos x="connsiteX70" y="connsiteY70"/>
                </a:cxn>
                <a:cxn ang="0">
                  <a:pos x="connsiteX71" y="connsiteY71"/>
                </a:cxn>
                <a:cxn ang="0">
                  <a:pos x="connsiteX72" y="connsiteY72"/>
                </a:cxn>
                <a:cxn ang="0">
                  <a:pos x="connsiteX73" y="connsiteY73"/>
                </a:cxn>
                <a:cxn ang="0">
                  <a:pos x="connsiteX74" y="connsiteY74"/>
                </a:cxn>
                <a:cxn ang="0">
                  <a:pos x="connsiteX75" y="connsiteY75"/>
                </a:cxn>
                <a:cxn ang="0">
                  <a:pos x="connsiteX76" y="connsiteY76"/>
                </a:cxn>
                <a:cxn ang="0">
                  <a:pos x="connsiteX77" y="connsiteY77"/>
                </a:cxn>
                <a:cxn ang="0">
                  <a:pos x="connsiteX78" y="connsiteY78"/>
                </a:cxn>
                <a:cxn ang="0">
                  <a:pos x="connsiteX79" y="connsiteY79"/>
                </a:cxn>
                <a:cxn ang="0">
                  <a:pos x="connsiteX80" y="connsiteY80"/>
                </a:cxn>
                <a:cxn ang="0">
                  <a:pos x="connsiteX81" y="connsiteY81"/>
                </a:cxn>
                <a:cxn ang="0">
                  <a:pos x="connsiteX82" y="connsiteY82"/>
                </a:cxn>
                <a:cxn ang="0">
                  <a:pos x="connsiteX83" y="connsiteY83"/>
                </a:cxn>
              </a:cxnLst>
              <a:rect l="l" t="t" r="r" b="b"/>
              <a:pathLst>
                <a:path w="1533229" h="273031">
                  <a:moveTo>
                    <a:pt x="358677" y="169357"/>
                  </a:moveTo>
                  <a:lnTo>
                    <a:pt x="358677" y="269168"/>
                  </a:lnTo>
                  <a:lnTo>
                    <a:pt x="285267" y="269168"/>
                  </a:lnTo>
                  <a:lnTo>
                    <a:pt x="285267" y="198978"/>
                  </a:lnTo>
                  <a:cubicBezTo>
                    <a:pt x="285267" y="167425"/>
                    <a:pt x="274964" y="154546"/>
                    <a:pt x="242123" y="154546"/>
                  </a:cubicBezTo>
                  <a:cubicBezTo>
                    <a:pt x="220229" y="154546"/>
                    <a:pt x="197691" y="164206"/>
                    <a:pt x="183524" y="177728"/>
                  </a:cubicBezTo>
                  <a:lnTo>
                    <a:pt x="183524" y="269812"/>
                  </a:lnTo>
                  <a:lnTo>
                    <a:pt x="110758" y="269812"/>
                  </a:lnTo>
                  <a:lnTo>
                    <a:pt x="110758" y="92084"/>
                  </a:lnTo>
                  <a:lnTo>
                    <a:pt x="183524" y="92084"/>
                  </a:lnTo>
                  <a:lnTo>
                    <a:pt x="183524" y="117842"/>
                  </a:lnTo>
                  <a:cubicBezTo>
                    <a:pt x="205418" y="102387"/>
                    <a:pt x="233108" y="90152"/>
                    <a:pt x="271744" y="90152"/>
                  </a:cubicBezTo>
                  <a:cubicBezTo>
                    <a:pt x="312957" y="90152"/>
                    <a:pt x="358677" y="103675"/>
                    <a:pt x="358677" y="169357"/>
                  </a:cubicBezTo>
                  <a:close/>
                  <a:moveTo>
                    <a:pt x="765005" y="36705"/>
                  </a:moveTo>
                  <a:lnTo>
                    <a:pt x="692239" y="36705"/>
                  </a:lnTo>
                  <a:lnTo>
                    <a:pt x="692239" y="92084"/>
                  </a:lnTo>
                  <a:lnTo>
                    <a:pt x="652959" y="92084"/>
                  </a:lnTo>
                  <a:lnTo>
                    <a:pt x="652959" y="151327"/>
                  </a:lnTo>
                  <a:lnTo>
                    <a:pt x="692239" y="151327"/>
                  </a:lnTo>
                  <a:lnTo>
                    <a:pt x="692239" y="269168"/>
                  </a:lnTo>
                  <a:lnTo>
                    <a:pt x="838415" y="269168"/>
                  </a:lnTo>
                  <a:lnTo>
                    <a:pt x="838415" y="209926"/>
                  </a:lnTo>
                  <a:lnTo>
                    <a:pt x="765649" y="209926"/>
                  </a:lnTo>
                  <a:lnTo>
                    <a:pt x="765649" y="151327"/>
                  </a:lnTo>
                  <a:lnTo>
                    <a:pt x="838415" y="151327"/>
                  </a:lnTo>
                  <a:lnTo>
                    <a:pt x="838415" y="92084"/>
                  </a:lnTo>
                  <a:lnTo>
                    <a:pt x="765649" y="92084"/>
                  </a:lnTo>
                  <a:lnTo>
                    <a:pt x="765649" y="36705"/>
                  </a:lnTo>
                  <a:close/>
                  <a:moveTo>
                    <a:pt x="632997" y="192539"/>
                  </a:moveTo>
                  <a:lnTo>
                    <a:pt x="462352" y="192539"/>
                  </a:lnTo>
                  <a:cubicBezTo>
                    <a:pt x="468147" y="211857"/>
                    <a:pt x="488109" y="216365"/>
                    <a:pt x="508072" y="216365"/>
                  </a:cubicBezTo>
                  <a:cubicBezTo>
                    <a:pt x="527390" y="216365"/>
                    <a:pt x="538337" y="215077"/>
                    <a:pt x="548640" y="209926"/>
                  </a:cubicBezTo>
                  <a:lnTo>
                    <a:pt x="627845" y="209926"/>
                  </a:lnTo>
                  <a:cubicBezTo>
                    <a:pt x="616254" y="252426"/>
                    <a:pt x="577617" y="273032"/>
                    <a:pt x="508072" y="273032"/>
                  </a:cubicBezTo>
                  <a:cubicBezTo>
                    <a:pt x="437882" y="273032"/>
                    <a:pt x="388942" y="246630"/>
                    <a:pt x="388942" y="180304"/>
                  </a:cubicBezTo>
                  <a:cubicBezTo>
                    <a:pt x="388942" y="113978"/>
                    <a:pt x="437882" y="87576"/>
                    <a:pt x="511291" y="87576"/>
                  </a:cubicBezTo>
                  <a:cubicBezTo>
                    <a:pt x="585345" y="87576"/>
                    <a:pt x="632997" y="113978"/>
                    <a:pt x="632997" y="192539"/>
                  </a:cubicBezTo>
                  <a:close/>
                  <a:moveTo>
                    <a:pt x="556367" y="152615"/>
                  </a:moveTo>
                  <a:cubicBezTo>
                    <a:pt x="547996" y="140380"/>
                    <a:pt x="529966" y="135228"/>
                    <a:pt x="510647" y="135228"/>
                  </a:cubicBezTo>
                  <a:cubicBezTo>
                    <a:pt x="491329" y="135228"/>
                    <a:pt x="473299" y="141024"/>
                    <a:pt x="465571" y="152615"/>
                  </a:cubicBezTo>
                  <a:lnTo>
                    <a:pt x="556367" y="152615"/>
                  </a:lnTo>
                  <a:close/>
                  <a:moveTo>
                    <a:pt x="1041901" y="186744"/>
                  </a:moveTo>
                  <a:cubicBezTo>
                    <a:pt x="1028378" y="199622"/>
                    <a:pt x="1006484" y="208638"/>
                    <a:pt x="985878" y="208638"/>
                  </a:cubicBezTo>
                  <a:cubicBezTo>
                    <a:pt x="954325" y="208638"/>
                    <a:pt x="943377" y="195759"/>
                    <a:pt x="943377" y="165493"/>
                  </a:cubicBezTo>
                  <a:lnTo>
                    <a:pt x="943377" y="92084"/>
                  </a:lnTo>
                  <a:lnTo>
                    <a:pt x="870612" y="92084"/>
                  </a:lnTo>
                  <a:lnTo>
                    <a:pt x="870612" y="194471"/>
                  </a:lnTo>
                  <a:cubicBezTo>
                    <a:pt x="870612" y="257577"/>
                    <a:pt x="918264" y="269812"/>
                    <a:pt x="957544" y="269812"/>
                  </a:cubicBezTo>
                  <a:cubicBezTo>
                    <a:pt x="994249" y="269812"/>
                    <a:pt x="1021295" y="258221"/>
                    <a:pt x="1041901" y="243411"/>
                  </a:cubicBezTo>
                  <a:lnTo>
                    <a:pt x="1041901" y="268524"/>
                  </a:lnTo>
                  <a:lnTo>
                    <a:pt x="1114667" y="268524"/>
                  </a:lnTo>
                  <a:lnTo>
                    <a:pt x="1114667" y="91440"/>
                  </a:lnTo>
                  <a:lnTo>
                    <a:pt x="1041901" y="91440"/>
                  </a:lnTo>
                  <a:lnTo>
                    <a:pt x="1041901" y="186744"/>
                  </a:lnTo>
                  <a:close/>
                  <a:moveTo>
                    <a:pt x="1457888" y="89508"/>
                  </a:moveTo>
                  <a:cubicBezTo>
                    <a:pt x="1414744" y="89508"/>
                    <a:pt x="1388987" y="103031"/>
                    <a:pt x="1371600" y="123637"/>
                  </a:cubicBezTo>
                  <a:cubicBezTo>
                    <a:pt x="1357433" y="97879"/>
                    <a:pt x="1327168" y="89508"/>
                    <a:pt x="1305274" y="89508"/>
                  </a:cubicBezTo>
                  <a:cubicBezTo>
                    <a:pt x="1262130" y="89508"/>
                    <a:pt x="1241523" y="106895"/>
                    <a:pt x="1225425" y="121705"/>
                  </a:cubicBezTo>
                  <a:lnTo>
                    <a:pt x="1225425" y="92084"/>
                  </a:lnTo>
                  <a:lnTo>
                    <a:pt x="1152659" y="92084"/>
                  </a:lnTo>
                  <a:lnTo>
                    <a:pt x="1152659" y="269168"/>
                  </a:lnTo>
                  <a:lnTo>
                    <a:pt x="1225425" y="269168"/>
                  </a:lnTo>
                  <a:lnTo>
                    <a:pt x="1225425" y="173865"/>
                  </a:lnTo>
                  <a:cubicBezTo>
                    <a:pt x="1240236" y="159054"/>
                    <a:pt x="1255690" y="151327"/>
                    <a:pt x="1273721" y="151327"/>
                  </a:cubicBezTo>
                  <a:cubicBezTo>
                    <a:pt x="1299478" y="151327"/>
                    <a:pt x="1307850" y="164206"/>
                    <a:pt x="1307850" y="194471"/>
                  </a:cubicBezTo>
                  <a:lnTo>
                    <a:pt x="1307850" y="269168"/>
                  </a:lnTo>
                  <a:lnTo>
                    <a:pt x="1380615" y="269168"/>
                  </a:lnTo>
                  <a:lnTo>
                    <a:pt x="1380615" y="171933"/>
                  </a:lnTo>
                  <a:cubicBezTo>
                    <a:pt x="1395426" y="157122"/>
                    <a:pt x="1408305" y="151327"/>
                    <a:pt x="1426335" y="151327"/>
                  </a:cubicBezTo>
                  <a:cubicBezTo>
                    <a:pt x="1452093" y="151327"/>
                    <a:pt x="1460464" y="164206"/>
                    <a:pt x="1460464" y="194471"/>
                  </a:cubicBezTo>
                  <a:lnTo>
                    <a:pt x="1460464" y="269168"/>
                  </a:lnTo>
                  <a:lnTo>
                    <a:pt x="1533230" y="269168"/>
                  </a:lnTo>
                  <a:lnTo>
                    <a:pt x="1533230" y="162918"/>
                  </a:lnTo>
                  <a:cubicBezTo>
                    <a:pt x="1533230" y="101743"/>
                    <a:pt x="1488798" y="89508"/>
                    <a:pt x="1457888" y="89508"/>
                  </a:cubicBezTo>
                  <a:close/>
                  <a:moveTo>
                    <a:pt x="0" y="92084"/>
                  </a:moveTo>
                  <a:lnTo>
                    <a:pt x="0" y="269168"/>
                  </a:lnTo>
                  <a:lnTo>
                    <a:pt x="72766" y="269168"/>
                  </a:lnTo>
                  <a:lnTo>
                    <a:pt x="72766" y="92084"/>
                  </a:lnTo>
                  <a:lnTo>
                    <a:pt x="0" y="92084"/>
                  </a:lnTo>
                  <a:close/>
                  <a:moveTo>
                    <a:pt x="72766" y="0"/>
                  </a:moveTo>
                  <a:lnTo>
                    <a:pt x="0" y="0"/>
                  </a:lnTo>
                  <a:lnTo>
                    <a:pt x="0" y="72766"/>
                  </a:lnTo>
                  <a:lnTo>
                    <a:pt x="72766" y="72766"/>
                  </a:lnTo>
                  <a:lnTo>
                    <a:pt x="72766" y="0"/>
                  </a:lnTo>
                  <a:close/>
                </a:path>
              </a:pathLst>
            </a:custGeom>
            <a:solidFill>
              <a:srgbClr val="232D4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>
                <a:latin typeface="Verdana" panose="020B0604030504040204" pitchFamily="34" charset="0"/>
                <a:ea typeface="Verdana" panose="020B0604030504040204" pitchFamily="34" charset="0"/>
              </a:endParaRPr>
            </a:p>
          </xdr:txBody>
        </xdr:sp>
        <xdr:sp macro="" textlink="">
          <xdr:nvSpPr>
            <xdr:cNvPr id="16" name="Forme libre : forme 20">
              <a:extLst>
                <a:ext uri="{FF2B5EF4-FFF2-40B4-BE49-F238E27FC236}">
                  <a16:creationId xmlns:a16="http://schemas.microsoft.com/office/drawing/2014/main" id="{A91D0237-F361-4A91-AF33-77B37F936434}"/>
                </a:ext>
              </a:extLst>
            </xdr:cNvPr>
            <xdr:cNvSpPr/>
          </xdr:nvSpPr>
          <xdr:spPr>
            <a:xfrm>
              <a:off x="15119439" y="697487"/>
              <a:ext cx="218296" cy="218940"/>
            </a:xfrm>
            <a:custGeom>
              <a:avLst/>
              <a:gdLst>
                <a:gd name="connsiteX0" fmla="*/ 72766 w 218296"/>
                <a:gd name="connsiteY0" fmla="*/ 0 h 218940"/>
                <a:gd name="connsiteX1" fmla="*/ 72766 w 218296"/>
                <a:gd name="connsiteY1" fmla="*/ 72766 h 218940"/>
                <a:gd name="connsiteX2" fmla="*/ 145531 w 218296"/>
                <a:gd name="connsiteY2" fmla="*/ 72766 h 218940"/>
                <a:gd name="connsiteX3" fmla="*/ 145531 w 218296"/>
                <a:gd name="connsiteY3" fmla="*/ 145531 h 218940"/>
                <a:gd name="connsiteX4" fmla="*/ 218297 w 218296"/>
                <a:gd name="connsiteY4" fmla="*/ 145531 h 218940"/>
                <a:gd name="connsiteX5" fmla="*/ 218297 w 218296"/>
                <a:gd name="connsiteY5" fmla="*/ 0 h 218940"/>
                <a:gd name="connsiteX6" fmla="*/ 72766 w 218296"/>
                <a:gd name="connsiteY6" fmla="*/ 0 h 218940"/>
                <a:gd name="connsiteX7" fmla="*/ 72766 w 218296"/>
                <a:gd name="connsiteY7" fmla="*/ 146175 h 218940"/>
                <a:gd name="connsiteX8" fmla="*/ 0 w 218296"/>
                <a:gd name="connsiteY8" fmla="*/ 146175 h 218940"/>
                <a:gd name="connsiteX9" fmla="*/ 0 w 218296"/>
                <a:gd name="connsiteY9" fmla="*/ 218941 h 218940"/>
                <a:gd name="connsiteX10" fmla="*/ 72766 w 218296"/>
                <a:gd name="connsiteY10" fmla="*/ 218941 h 218940"/>
                <a:gd name="connsiteX11" fmla="*/ 72766 w 218296"/>
                <a:gd name="connsiteY11" fmla="*/ 146175 h 2189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218296" h="218940">
                  <a:moveTo>
                    <a:pt x="72766" y="0"/>
                  </a:moveTo>
                  <a:lnTo>
                    <a:pt x="72766" y="72766"/>
                  </a:lnTo>
                  <a:lnTo>
                    <a:pt x="145531" y="72766"/>
                  </a:lnTo>
                  <a:lnTo>
                    <a:pt x="145531" y="145531"/>
                  </a:lnTo>
                  <a:lnTo>
                    <a:pt x="218297" y="145531"/>
                  </a:lnTo>
                  <a:lnTo>
                    <a:pt x="218297" y="0"/>
                  </a:lnTo>
                  <a:lnTo>
                    <a:pt x="72766" y="0"/>
                  </a:lnTo>
                  <a:close/>
                  <a:moveTo>
                    <a:pt x="72766" y="146175"/>
                  </a:moveTo>
                  <a:lnTo>
                    <a:pt x="0" y="146175"/>
                  </a:lnTo>
                  <a:lnTo>
                    <a:pt x="0" y="218941"/>
                  </a:lnTo>
                  <a:lnTo>
                    <a:pt x="72766" y="218941"/>
                  </a:lnTo>
                  <a:lnTo>
                    <a:pt x="72766" y="146175"/>
                  </a:lnTo>
                  <a:close/>
                </a:path>
              </a:pathLst>
            </a:custGeom>
            <a:solidFill>
              <a:srgbClr val="00AA9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>
                <a:latin typeface="Verdana" panose="020B0604030504040204" pitchFamily="34" charset="0"/>
                <a:ea typeface="Verdana" panose="020B0604030504040204" pitchFamily="34" charset="0"/>
              </a:endParaRP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31750</xdr:rowOff>
    </xdr:from>
    <xdr:to>
      <xdr:col>3</xdr:col>
      <xdr:colOff>504960</xdr:colOff>
      <xdr:row>3</xdr:row>
      <xdr:rowOff>7792</xdr:rowOff>
    </xdr:to>
    <xdr:grpSp>
      <xdr:nvGrpSpPr>
        <xdr:cNvPr id="12" name="Graphique 9">
          <a:extLst>
            <a:ext uri="{FF2B5EF4-FFF2-40B4-BE49-F238E27FC236}">
              <a16:creationId xmlns:a16="http://schemas.microsoft.com/office/drawing/2014/main" id="{C85437FA-8B98-4E32-84EC-134AC8FE9738}"/>
            </a:ext>
          </a:extLst>
        </xdr:cNvPr>
        <xdr:cNvGrpSpPr>
          <a:grpSpLocks noChangeAspect="1"/>
        </xdr:cNvGrpSpPr>
      </xdr:nvGrpSpPr>
      <xdr:grpSpPr>
        <a:xfrm>
          <a:off x="323850" y="212725"/>
          <a:ext cx="2286135" cy="490392"/>
          <a:chOff x="13512800" y="647260"/>
          <a:chExt cx="1824935" cy="432728"/>
        </a:xfrm>
      </xdr:grpSpPr>
      <xdr:sp macro="" textlink="">
        <xdr:nvSpPr>
          <xdr:cNvPr id="13" name="Forme libre : forme 17">
            <a:extLst>
              <a:ext uri="{FF2B5EF4-FFF2-40B4-BE49-F238E27FC236}">
                <a16:creationId xmlns:a16="http://schemas.microsoft.com/office/drawing/2014/main" id="{29C646B6-8E3C-45E3-A696-B6887A376D41}"/>
              </a:ext>
            </a:extLst>
          </xdr:cNvPr>
          <xdr:cNvSpPr/>
        </xdr:nvSpPr>
        <xdr:spPr>
          <a:xfrm>
            <a:off x="13798067" y="988549"/>
            <a:ext cx="1254402" cy="91439"/>
          </a:xfrm>
          <a:custGeom>
            <a:avLst/>
            <a:gdLst>
              <a:gd name="connsiteX0" fmla="*/ 70834 w 1254402"/>
              <a:gd name="connsiteY0" fmla="*/ 31553 h 91439"/>
              <a:gd name="connsiteX1" fmla="*/ 47652 w 1254402"/>
              <a:gd name="connsiteY1" fmla="*/ 53447 h 91439"/>
              <a:gd name="connsiteX2" fmla="*/ 15455 w 1254402"/>
              <a:gd name="connsiteY2" fmla="*/ 53447 h 91439"/>
              <a:gd name="connsiteX3" fmla="*/ 15455 w 1254402"/>
              <a:gd name="connsiteY3" fmla="*/ 69546 h 91439"/>
              <a:gd name="connsiteX4" fmla="*/ 0 w 1254402"/>
              <a:gd name="connsiteY4" fmla="*/ 69546 h 91439"/>
              <a:gd name="connsiteX5" fmla="*/ 0 w 1254402"/>
              <a:gd name="connsiteY5" fmla="*/ 9015 h 91439"/>
              <a:gd name="connsiteX6" fmla="*/ 47652 w 1254402"/>
              <a:gd name="connsiteY6" fmla="*/ 9015 h 91439"/>
              <a:gd name="connsiteX7" fmla="*/ 70834 w 1254402"/>
              <a:gd name="connsiteY7" fmla="*/ 31553 h 91439"/>
              <a:gd name="connsiteX8" fmla="*/ 55379 w 1254402"/>
              <a:gd name="connsiteY8" fmla="*/ 31553 h 91439"/>
              <a:gd name="connsiteX9" fmla="*/ 43788 w 1254402"/>
              <a:gd name="connsiteY9" fmla="*/ 22538 h 91439"/>
              <a:gd name="connsiteX10" fmla="*/ 16099 w 1254402"/>
              <a:gd name="connsiteY10" fmla="*/ 22538 h 91439"/>
              <a:gd name="connsiteX11" fmla="*/ 16099 w 1254402"/>
              <a:gd name="connsiteY11" fmla="*/ 40568 h 91439"/>
              <a:gd name="connsiteX12" fmla="*/ 43144 w 1254402"/>
              <a:gd name="connsiteY12" fmla="*/ 40568 h 91439"/>
              <a:gd name="connsiteX13" fmla="*/ 55379 w 1254402"/>
              <a:gd name="connsiteY13" fmla="*/ 31553 h 91439"/>
              <a:gd name="connsiteX14" fmla="*/ 79849 w 1254402"/>
              <a:gd name="connsiteY14" fmla="*/ 44432 h 91439"/>
              <a:gd name="connsiteX15" fmla="*/ 115266 w 1254402"/>
              <a:gd name="connsiteY15" fmla="*/ 18030 h 91439"/>
              <a:gd name="connsiteX16" fmla="*/ 150683 w 1254402"/>
              <a:gd name="connsiteY16" fmla="*/ 44432 h 91439"/>
              <a:gd name="connsiteX17" fmla="*/ 115266 w 1254402"/>
              <a:gd name="connsiteY17" fmla="*/ 70834 h 91439"/>
              <a:gd name="connsiteX18" fmla="*/ 79849 w 1254402"/>
              <a:gd name="connsiteY18" fmla="*/ 44432 h 91439"/>
              <a:gd name="connsiteX19" fmla="*/ 135228 w 1254402"/>
              <a:gd name="connsiteY19" fmla="*/ 44432 h 91439"/>
              <a:gd name="connsiteX20" fmla="*/ 114622 w 1254402"/>
              <a:gd name="connsiteY20" fmla="*/ 30265 h 91439"/>
              <a:gd name="connsiteX21" fmla="*/ 94016 w 1254402"/>
              <a:gd name="connsiteY21" fmla="*/ 44432 h 91439"/>
              <a:gd name="connsiteX22" fmla="*/ 114622 w 1254402"/>
              <a:gd name="connsiteY22" fmla="*/ 58599 h 91439"/>
              <a:gd name="connsiteX23" fmla="*/ 135228 w 1254402"/>
              <a:gd name="connsiteY23" fmla="*/ 44432 h 91439"/>
              <a:gd name="connsiteX24" fmla="*/ 173221 w 1254402"/>
              <a:gd name="connsiteY24" fmla="*/ 52159 h 91439"/>
              <a:gd name="connsiteX25" fmla="*/ 195115 w 1254402"/>
              <a:gd name="connsiteY25" fmla="*/ 59887 h 91439"/>
              <a:gd name="connsiteX26" fmla="*/ 213789 w 1254402"/>
              <a:gd name="connsiteY26" fmla="*/ 54735 h 91439"/>
              <a:gd name="connsiteX27" fmla="*/ 193827 w 1254402"/>
              <a:gd name="connsiteY27" fmla="*/ 49584 h 91439"/>
              <a:gd name="connsiteX28" fmla="*/ 160342 w 1254402"/>
              <a:gd name="connsiteY28" fmla="*/ 34129 h 91439"/>
              <a:gd name="connsiteX29" fmla="*/ 193827 w 1254402"/>
              <a:gd name="connsiteY29" fmla="*/ 18674 h 91439"/>
              <a:gd name="connsiteX30" fmla="*/ 226668 w 1254402"/>
              <a:gd name="connsiteY30" fmla="*/ 35417 h 91439"/>
              <a:gd name="connsiteX31" fmla="*/ 211857 w 1254402"/>
              <a:gd name="connsiteY31" fmla="*/ 35417 h 91439"/>
              <a:gd name="connsiteX32" fmla="*/ 192539 w 1254402"/>
              <a:gd name="connsiteY32" fmla="*/ 30265 h 91439"/>
              <a:gd name="connsiteX33" fmla="*/ 174509 w 1254402"/>
              <a:gd name="connsiteY33" fmla="*/ 34129 h 91439"/>
              <a:gd name="connsiteX34" fmla="*/ 194471 w 1254402"/>
              <a:gd name="connsiteY34" fmla="*/ 39281 h 91439"/>
              <a:gd name="connsiteX35" fmla="*/ 227956 w 1254402"/>
              <a:gd name="connsiteY35" fmla="*/ 54735 h 91439"/>
              <a:gd name="connsiteX36" fmla="*/ 195759 w 1254402"/>
              <a:gd name="connsiteY36" fmla="*/ 71478 h 91439"/>
              <a:gd name="connsiteX37" fmla="*/ 158410 w 1254402"/>
              <a:gd name="connsiteY37" fmla="*/ 52803 h 91439"/>
              <a:gd name="connsiteX38" fmla="*/ 173221 w 1254402"/>
              <a:gd name="connsiteY38" fmla="*/ 52803 h 91439"/>
              <a:gd name="connsiteX39" fmla="*/ 254358 w 1254402"/>
              <a:gd name="connsiteY39" fmla="*/ 644 h 91439"/>
              <a:gd name="connsiteX40" fmla="*/ 254358 w 1254402"/>
              <a:gd name="connsiteY40" fmla="*/ 13523 h 91439"/>
              <a:gd name="connsiteX41" fmla="*/ 239547 w 1254402"/>
              <a:gd name="connsiteY41" fmla="*/ 13523 h 91439"/>
              <a:gd name="connsiteX42" fmla="*/ 239547 w 1254402"/>
              <a:gd name="connsiteY42" fmla="*/ 644 h 91439"/>
              <a:gd name="connsiteX43" fmla="*/ 254358 w 1254402"/>
              <a:gd name="connsiteY43" fmla="*/ 644 h 91439"/>
              <a:gd name="connsiteX44" fmla="*/ 254358 w 1254402"/>
              <a:gd name="connsiteY44" fmla="*/ 19318 h 91439"/>
              <a:gd name="connsiteX45" fmla="*/ 254358 w 1254402"/>
              <a:gd name="connsiteY45" fmla="*/ 70190 h 91439"/>
              <a:gd name="connsiteX46" fmla="*/ 239547 w 1254402"/>
              <a:gd name="connsiteY46" fmla="*/ 70190 h 91439"/>
              <a:gd name="connsiteX47" fmla="*/ 239547 w 1254402"/>
              <a:gd name="connsiteY47" fmla="*/ 19318 h 91439"/>
              <a:gd name="connsiteX48" fmla="*/ 254358 w 1254402"/>
              <a:gd name="connsiteY48" fmla="*/ 19318 h 91439"/>
              <a:gd name="connsiteX49" fmla="*/ 292994 w 1254402"/>
              <a:gd name="connsiteY49" fmla="*/ 31553 h 91439"/>
              <a:gd name="connsiteX50" fmla="*/ 292994 w 1254402"/>
              <a:gd name="connsiteY50" fmla="*/ 46364 h 91439"/>
              <a:gd name="connsiteX51" fmla="*/ 303941 w 1254402"/>
              <a:gd name="connsiteY51" fmla="*/ 58599 h 91439"/>
              <a:gd name="connsiteX52" fmla="*/ 316820 w 1254402"/>
              <a:gd name="connsiteY52" fmla="*/ 57955 h 91439"/>
              <a:gd name="connsiteX53" fmla="*/ 316820 w 1254402"/>
              <a:gd name="connsiteY53" fmla="*/ 69546 h 91439"/>
              <a:gd name="connsiteX54" fmla="*/ 299434 w 1254402"/>
              <a:gd name="connsiteY54" fmla="*/ 70834 h 91439"/>
              <a:gd name="connsiteX55" fmla="*/ 278184 w 1254402"/>
              <a:gd name="connsiteY55" fmla="*/ 54735 h 91439"/>
              <a:gd name="connsiteX56" fmla="*/ 278184 w 1254402"/>
              <a:gd name="connsiteY56" fmla="*/ 31553 h 91439"/>
              <a:gd name="connsiteX57" fmla="*/ 264661 w 1254402"/>
              <a:gd name="connsiteY57" fmla="*/ 31553 h 91439"/>
              <a:gd name="connsiteX58" fmla="*/ 264661 w 1254402"/>
              <a:gd name="connsiteY58" fmla="*/ 19318 h 91439"/>
              <a:gd name="connsiteX59" fmla="*/ 278184 w 1254402"/>
              <a:gd name="connsiteY59" fmla="*/ 19318 h 91439"/>
              <a:gd name="connsiteX60" fmla="*/ 278184 w 1254402"/>
              <a:gd name="connsiteY60" fmla="*/ 9015 h 91439"/>
              <a:gd name="connsiteX61" fmla="*/ 292994 w 1254402"/>
              <a:gd name="connsiteY61" fmla="*/ 4508 h 91439"/>
              <a:gd name="connsiteX62" fmla="*/ 292994 w 1254402"/>
              <a:gd name="connsiteY62" fmla="*/ 19318 h 91439"/>
              <a:gd name="connsiteX63" fmla="*/ 316820 w 1254402"/>
              <a:gd name="connsiteY63" fmla="*/ 19318 h 91439"/>
              <a:gd name="connsiteX64" fmla="*/ 316820 w 1254402"/>
              <a:gd name="connsiteY64" fmla="*/ 31553 h 91439"/>
              <a:gd name="connsiteX65" fmla="*/ 292994 w 1254402"/>
              <a:gd name="connsiteY65" fmla="*/ 31553 h 91439"/>
              <a:gd name="connsiteX66" fmla="*/ 342578 w 1254402"/>
              <a:gd name="connsiteY66" fmla="*/ 644 h 91439"/>
              <a:gd name="connsiteX67" fmla="*/ 342578 w 1254402"/>
              <a:gd name="connsiteY67" fmla="*/ 13523 h 91439"/>
              <a:gd name="connsiteX68" fmla="*/ 327767 w 1254402"/>
              <a:gd name="connsiteY68" fmla="*/ 13523 h 91439"/>
              <a:gd name="connsiteX69" fmla="*/ 327767 w 1254402"/>
              <a:gd name="connsiteY69" fmla="*/ 644 h 91439"/>
              <a:gd name="connsiteX70" fmla="*/ 342578 w 1254402"/>
              <a:gd name="connsiteY70" fmla="*/ 644 h 91439"/>
              <a:gd name="connsiteX71" fmla="*/ 342578 w 1254402"/>
              <a:gd name="connsiteY71" fmla="*/ 19318 h 91439"/>
              <a:gd name="connsiteX72" fmla="*/ 342578 w 1254402"/>
              <a:gd name="connsiteY72" fmla="*/ 70190 h 91439"/>
              <a:gd name="connsiteX73" fmla="*/ 327767 w 1254402"/>
              <a:gd name="connsiteY73" fmla="*/ 70190 h 91439"/>
              <a:gd name="connsiteX74" fmla="*/ 327767 w 1254402"/>
              <a:gd name="connsiteY74" fmla="*/ 19318 h 91439"/>
              <a:gd name="connsiteX75" fmla="*/ 342578 w 1254402"/>
              <a:gd name="connsiteY75" fmla="*/ 19318 h 91439"/>
              <a:gd name="connsiteX76" fmla="*/ 424359 w 1254402"/>
              <a:gd name="connsiteY76" fmla="*/ 19318 h 91439"/>
              <a:gd name="connsiteX77" fmla="*/ 398601 w 1254402"/>
              <a:gd name="connsiteY77" fmla="*/ 70190 h 91439"/>
              <a:gd name="connsiteX78" fmla="*/ 377995 w 1254402"/>
              <a:gd name="connsiteY78" fmla="*/ 70190 h 91439"/>
              <a:gd name="connsiteX79" fmla="*/ 352237 w 1254402"/>
              <a:gd name="connsiteY79" fmla="*/ 19318 h 91439"/>
              <a:gd name="connsiteX80" fmla="*/ 368336 w 1254402"/>
              <a:gd name="connsiteY80" fmla="*/ 19318 h 91439"/>
              <a:gd name="connsiteX81" fmla="*/ 388298 w 1254402"/>
              <a:gd name="connsiteY81" fmla="*/ 59887 h 91439"/>
              <a:gd name="connsiteX82" fmla="*/ 408260 w 1254402"/>
              <a:gd name="connsiteY82" fmla="*/ 19318 h 91439"/>
              <a:gd name="connsiteX83" fmla="*/ 424359 w 1254402"/>
              <a:gd name="connsiteY83" fmla="*/ 19318 h 91439"/>
              <a:gd name="connsiteX84" fmla="*/ 481670 w 1254402"/>
              <a:gd name="connsiteY84" fmla="*/ 51515 h 91439"/>
              <a:gd name="connsiteX85" fmla="*/ 496481 w 1254402"/>
              <a:gd name="connsiteY85" fmla="*/ 51515 h 91439"/>
              <a:gd name="connsiteX86" fmla="*/ 461708 w 1254402"/>
              <a:gd name="connsiteY86" fmla="*/ 70834 h 91439"/>
              <a:gd name="connsiteX87" fmla="*/ 427579 w 1254402"/>
              <a:gd name="connsiteY87" fmla="*/ 44432 h 91439"/>
              <a:gd name="connsiteX88" fmla="*/ 462995 w 1254402"/>
              <a:gd name="connsiteY88" fmla="*/ 18030 h 91439"/>
              <a:gd name="connsiteX89" fmla="*/ 497768 w 1254402"/>
              <a:gd name="connsiteY89" fmla="*/ 47652 h 91439"/>
              <a:gd name="connsiteX90" fmla="*/ 442389 w 1254402"/>
              <a:gd name="connsiteY90" fmla="*/ 47652 h 91439"/>
              <a:gd name="connsiteX91" fmla="*/ 461708 w 1254402"/>
              <a:gd name="connsiteY91" fmla="*/ 58599 h 91439"/>
              <a:gd name="connsiteX92" fmla="*/ 481670 w 1254402"/>
              <a:gd name="connsiteY92" fmla="*/ 51515 h 91439"/>
              <a:gd name="connsiteX93" fmla="*/ 442389 w 1254402"/>
              <a:gd name="connsiteY93" fmla="*/ 38637 h 91439"/>
              <a:gd name="connsiteX94" fmla="*/ 481026 w 1254402"/>
              <a:gd name="connsiteY94" fmla="*/ 38637 h 91439"/>
              <a:gd name="connsiteX95" fmla="*/ 461708 w 1254402"/>
              <a:gd name="connsiteY95" fmla="*/ 29621 h 91439"/>
              <a:gd name="connsiteX96" fmla="*/ 442389 w 1254402"/>
              <a:gd name="connsiteY96" fmla="*/ 38637 h 91439"/>
              <a:gd name="connsiteX97" fmla="*/ 622694 w 1254402"/>
              <a:gd name="connsiteY97" fmla="*/ 644 h 91439"/>
              <a:gd name="connsiteX98" fmla="*/ 622694 w 1254402"/>
              <a:gd name="connsiteY98" fmla="*/ 69546 h 91439"/>
              <a:gd name="connsiteX99" fmla="*/ 607883 w 1254402"/>
              <a:gd name="connsiteY99" fmla="*/ 69546 h 91439"/>
              <a:gd name="connsiteX100" fmla="*/ 607883 w 1254402"/>
              <a:gd name="connsiteY100" fmla="*/ 61819 h 91439"/>
              <a:gd name="connsiteX101" fmla="*/ 582769 w 1254402"/>
              <a:gd name="connsiteY101" fmla="*/ 70834 h 91439"/>
              <a:gd name="connsiteX102" fmla="*/ 552504 w 1254402"/>
              <a:gd name="connsiteY102" fmla="*/ 44432 h 91439"/>
              <a:gd name="connsiteX103" fmla="*/ 582769 w 1254402"/>
              <a:gd name="connsiteY103" fmla="*/ 18030 h 91439"/>
              <a:gd name="connsiteX104" fmla="*/ 607883 w 1254402"/>
              <a:gd name="connsiteY104" fmla="*/ 27046 h 91439"/>
              <a:gd name="connsiteX105" fmla="*/ 607883 w 1254402"/>
              <a:gd name="connsiteY105" fmla="*/ 644 h 91439"/>
              <a:gd name="connsiteX106" fmla="*/ 622694 w 1254402"/>
              <a:gd name="connsiteY106" fmla="*/ 644 h 91439"/>
              <a:gd name="connsiteX107" fmla="*/ 607883 w 1254402"/>
              <a:gd name="connsiteY107" fmla="*/ 44432 h 91439"/>
              <a:gd name="connsiteX108" fmla="*/ 587277 w 1254402"/>
              <a:gd name="connsiteY108" fmla="*/ 30265 h 91439"/>
              <a:gd name="connsiteX109" fmla="*/ 566670 w 1254402"/>
              <a:gd name="connsiteY109" fmla="*/ 44432 h 91439"/>
              <a:gd name="connsiteX110" fmla="*/ 587277 w 1254402"/>
              <a:gd name="connsiteY110" fmla="*/ 58599 h 91439"/>
              <a:gd name="connsiteX111" fmla="*/ 607883 w 1254402"/>
              <a:gd name="connsiteY111" fmla="*/ 44432 h 91439"/>
              <a:gd name="connsiteX112" fmla="*/ 649739 w 1254402"/>
              <a:gd name="connsiteY112" fmla="*/ 644 h 91439"/>
              <a:gd name="connsiteX113" fmla="*/ 649739 w 1254402"/>
              <a:gd name="connsiteY113" fmla="*/ 13523 h 91439"/>
              <a:gd name="connsiteX114" fmla="*/ 634928 w 1254402"/>
              <a:gd name="connsiteY114" fmla="*/ 13523 h 91439"/>
              <a:gd name="connsiteX115" fmla="*/ 634928 w 1254402"/>
              <a:gd name="connsiteY115" fmla="*/ 644 h 91439"/>
              <a:gd name="connsiteX116" fmla="*/ 649739 w 1254402"/>
              <a:gd name="connsiteY116" fmla="*/ 644 h 91439"/>
              <a:gd name="connsiteX117" fmla="*/ 649739 w 1254402"/>
              <a:gd name="connsiteY117" fmla="*/ 19318 h 91439"/>
              <a:gd name="connsiteX118" fmla="*/ 649739 w 1254402"/>
              <a:gd name="connsiteY118" fmla="*/ 70190 h 91439"/>
              <a:gd name="connsiteX119" fmla="*/ 634928 w 1254402"/>
              <a:gd name="connsiteY119" fmla="*/ 70190 h 91439"/>
              <a:gd name="connsiteX120" fmla="*/ 634928 w 1254402"/>
              <a:gd name="connsiteY120" fmla="*/ 19318 h 91439"/>
              <a:gd name="connsiteX121" fmla="*/ 649739 w 1254402"/>
              <a:gd name="connsiteY121" fmla="*/ 19318 h 91439"/>
              <a:gd name="connsiteX122" fmla="*/ 730876 w 1254402"/>
              <a:gd name="connsiteY122" fmla="*/ 19318 h 91439"/>
              <a:gd name="connsiteX123" fmla="*/ 730876 w 1254402"/>
              <a:gd name="connsiteY123" fmla="*/ 61819 h 91439"/>
              <a:gd name="connsiteX124" fmla="*/ 698035 w 1254402"/>
              <a:gd name="connsiteY124" fmla="*/ 91440 h 91439"/>
              <a:gd name="connsiteX125" fmla="*/ 666482 w 1254402"/>
              <a:gd name="connsiteY125" fmla="*/ 87576 h 91439"/>
              <a:gd name="connsiteX126" fmla="*/ 666482 w 1254402"/>
              <a:gd name="connsiteY126" fmla="*/ 75985 h 91439"/>
              <a:gd name="connsiteX127" fmla="*/ 694815 w 1254402"/>
              <a:gd name="connsiteY127" fmla="*/ 79849 h 91439"/>
              <a:gd name="connsiteX128" fmla="*/ 716065 w 1254402"/>
              <a:gd name="connsiteY128" fmla="*/ 61175 h 91439"/>
              <a:gd name="connsiteX129" fmla="*/ 690308 w 1254402"/>
              <a:gd name="connsiteY129" fmla="*/ 70190 h 91439"/>
              <a:gd name="connsiteX130" fmla="*/ 660686 w 1254402"/>
              <a:gd name="connsiteY130" fmla="*/ 44432 h 91439"/>
              <a:gd name="connsiteX131" fmla="*/ 690308 w 1254402"/>
              <a:gd name="connsiteY131" fmla="*/ 18674 h 91439"/>
              <a:gd name="connsiteX132" fmla="*/ 716065 w 1254402"/>
              <a:gd name="connsiteY132" fmla="*/ 27690 h 91439"/>
              <a:gd name="connsiteX133" fmla="*/ 716065 w 1254402"/>
              <a:gd name="connsiteY133" fmla="*/ 19318 h 91439"/>
              <a:gd name="connsiteX134" fmla="*/ 730876 w 1254402"/>
              <a:gd name="connsiteY134" fmla="*/ 19318 h 91439"/>
              <a:gd name="connsiteX135" fmla="*/ 715421 w 1254402"/>
              <a:gd name="connsiteY135" fmla="*/ 43788 h 91439"/>
              <a:gd name="connsiteX136" fmla="*/ 694815 w 1254402"/>
              <a:gd name="connsiteY136" fmla="*/ 30909 h 91439"/>
              <a:gd name="connsiteX137" fmla="*/ 674209 w 1254402"/>
              <a:gd name="connsiteY137" fmla="*/ 43788 h 91439"/>
              <a:gd name="connsiteX138" fmla="*/ 694815 w 1254402"/>
              <a:gd name="connsiteY138" fmla="*/ 56667 h 91439"/>
              <a:gd name="connsiteX139" fmla="*/ 715421 w 1254402"/>
              <a:gd name="connsiteY139" fmla="*/ 43788 h 91439"/>
              <a:gd name="connsiteX140" fmla="*/ 757278 w 1254402"/>
              <a:gd name="connsiteY140" fmla="*/ 644 h 91439"/>
              <a:gd name="connsiteX141" fmla="*/ 757278 w 1254402"/>
              <a:gd name="connsiteY141" fmla="*/ 13523 h 91439"/>
              <a:gd name="connsiteX142" fmla="*/ 742467 w 1254402"/>
              <a:gd name="connsiteY142" fmla="*/ 13523 h 91439"/>
              <a:gd name="connsiteX143" fmla="*/ 742467 w 1254402"/>
              <a:gd name="connsiteY143" fmla="*/ 644 h 91439"/>
              <a:gd name="connsiteX144" fmla="*/ 757278 w 1254402"/>
              <a:gd name="connsiteY144" fmla="*/ 644 h 91439"/>
              <a:gd name="connsiteX145" fmla="*/ 757278 w 1254402"/>
              <a:gd name="connsiteY145" fmla="*/ 19318 h 91439"/>
              <a:gd name="connsiteX146" fmla="*/ 757278 w 1254402"/>
              <a:gd name="connsiteY146" fmla="*/ 70190 h 91439"/>
              <a:gd name="connsiteX147" fmla="*/ 742467 w 1254402"/>
              <a:gd name="connsiteY147" fmla="*/ 70190 h 91439"/>
              <a:gd name="connsiteX148" fmla="*/ 742467 w 1254402"/>
              <a:gd name="connsiteY148" fmla="*/ 19318 h 91439"/>
              <a:gd name="connsiteX149" fmla="*/ 757278 w 1254402"/>
              <a:gd name="connsiteY149" fmla="*/ 19318 h 91439"/>
              <a:gd name="connsiteX150" fmla="*/ 795914 w 1254402"/>
              <a:gd name="connsiteY150" fmla="*/ 31553 h 91439"/>
              <a:gd name="connsiteX151" fmla="*/ 795914 w 1254402"/>
              <a:gd name="connsiteY151" fmla="*/ 46364 h 91439"/>
              <a:gd name="connsiteX152" fmla="*/ 806861 w 1254402"/>
              <a:gd name="connsiteY152" fmla="*/ 58599 h 91439"/>
              <a:gd name="connsiteX153" fmla="*/ 819740 w 1254402"/>
              <a:gd name="connsiteY153" fmla="*/ 57955 h 91439"/>
              <a:gd name="connsiteX154" fmla="*/ 819740 w 1254402"/>
              <a:gd name="connsiteY154" fmla="*/ 69546 h 91439"/>
              <a:gd name="connsiteX155" fmla="*/ 802354 w 1254402"/>
              <a:gd name="connsiteY155" fmla="*/ 70834 h 91439"/>
              <a:gd name="connsiteX156" fmla="*/ 781104 w 1254402"/>
              <a:gd name="connsiteY156" fmla="*/ 54735 h 91439"/>
              <a:gd name="connsiteX157" fmla="*/ 781104 w 1254402"/>
              <a:gd name="connsiteY157" fmla="*/ 31553 h 91439"/>
              <a:gd name="connsiteX158" fmla="*/ 767581 w 1254402"/>
              <a:gd name="connsiteY158" fmla="*/ 31553 h 91439"/>
              <a:gd name="connsiteX159" fmla="*/ 767581 w 1254402"/>
              <a:gd name="connsiteY159" fmla="*/ 19318 h 91439"/>
              <a:gd name="connsiteX160" fmla="*/ 781104 w 1254402"/>
              <a:gd name="connsiteY160" fmla="*/ 19318 h 91439"/>
              <a:gd name="connsiteX161" fmla="*/ 781104 w 1254402"/>
              <a:gd name="connsiteY161" fmla="*/ 9015 h 91439"/>
              <a:gd name="connsiteX162" fmla="*/ 795914 w 1254402"/>
              <a:gd name="connsiteY162" fmla="*/ 4508 h 91439"/>
              <a:gd name="connsiteX163" fmla="*/ 795914 w 1254402"/>
              <a:gd name="connsiteY163" fmla="*/ 19318 h 91439"/>
              <a:gd name="connsiteX164" fmla="*/ 819740 w 1254402"/>
              <a:gd name="connsiteY164" fmla="*/ 19318 h 91439"/>
              <a:gd name="connsiteX165" fmla="*/ 819740 w 1254402"/>
              <a:gd name="connsiteY165" fmla="*/ 31553 h 91439"/>
              <a:gd name="connsiteX166" fmla="*/ 795914 w 1254402"/>
              <a:gd name="connsiteY166" fmla="*/ 31553 h 91439"/>
              <a:gd name="connsiteX167" fmla="*/ 898301 w 1254402"/>
              <a:gd name="connsiteY167" fmla="*/ 44432 h 91439"/>
              <a:gd name="connsiteX168" fmla="*/ 898301 w 1254402"/>
              <a:gd name="connsiteY168" fmla="*/ 70190 h 91439"/>
              <a:gd name="connsiteX169" fmla="*/ 883491 w 1254402"/>
              <a:gd name="connsiteY169" fmla="*/ 70190 h 91439"/>
              <a:gd name="connsiteX170" fmla="*/ 883491 w 1254402"/>
              <a:gd name="connsiteY170" fmla="*/ 63750 h 91439"/>
              <a:gd name="connsiteX171" fmla="*/ 852581 w 1254402"/>
              <a:gd name="connsiteY171" fmla="*/ 70834 h 91439"/>
              <a:gd name="connsiteX172" fmla="*/ 829400 w 1254402"/>
              <a:gd name="connsiteY172" fmla="*/ 54735 h 91439"/>
              <a:gd name="connsiteX173" fmla="*/ 860309 w 1254402"/>
              <a:gd name="connsiteY173" fmla="*/ 37349 h 91439"/>
              <a:gd name="connsiteX174" fmla="*/ 883491 w 1254402"/>
              <a:gd name="connsiteY174" fmla="*/ 41212 h 91439"/>
              <a:gd name="connsiteX175" fmla="*/ 864172 w 1254402"/>
              <a:gd name="connsiteY175" fmla="*/ 30909 h 91439"/>
              <a:gd name="connsiteX176" fmla="*/ 839059 w 1254402"/>
              <a:gd name="connsiteY176" fmla="*/ 34773 h 91439"/>
              <a:gd name="connsiteX177" fmla="*/ 833907 w 1254402"/>
              <a:gd name="connsiteY177" fmla="*/ 23826 h 91439"/>
              <a:gd name="connsiteX178" fmla="*/ 864816 w 1254402"/>
              <a:gd name="connsiteY178" fmla="*/ 18674 h 91439"/>
              <a:gd name="connsiteX179" fmla="*/ 898301 w 1254402"/>
              <a:gd name="connsiteY179" fmla="*/ 44432 h 91439"/>
              <a:gd name="connsiteX180" fmla="*/ 883491 w 1254402"/>
              <a:gd name="connsiteY180" fmla="*/ 50228 h 91439"/>
              <a:gd name="connsiteX181" fmla="*/ 862241 w 1254402"/>
              <a:gd name="connsiteY181" fmla="*/ 47008 h 91439"/>
              <a:gd name="connsiteX182" fmla="*/ 844854 w 1254402"/>
              <a:gd name="connsiteY182" fmla="*/ 54091 h 91439"/>
              <a:gd name="connsiteX183" fmla="*/ 857733 w 1254402"/>
              <a:gd name="connsiteY183" fmla="*/ 59887 h 91439"/>
              <a:gd name="connsiteX184" fmla="*/ 884135 w 1254402"/>
              <a:gd name="connsiteY184" fmla="*/ 54091 h 91439"/>
              <a:gd name="connsiteX185" fmla="*/ 884135 w 1254402"/>
              <a:gd name="connsiteY185" fmla="*/ 50228 h 91439"/>
              <a:gd name="connsiteX186" fmla="*/ 925347 w 1254402"/>
              <a:gd name="connsiteY186" fmla="*/ 644 h 91439"/>
              <a:gd name="connsiteX187" fmla="*/ 925347 w 1254402"/>
              <a:gd name="connsiteY187" fmla="*/ 69546 h 91439"/>
              <a:gd name="connsiteX188" fmla="*/ 910536 w 1254402"/>
              <a:gd name="connsiteY188" fmla="*/ 69546 h 91439"/>
              <a:gd name="connsiteX189" fmla="*/ 910536 w 1254402"/>
              <a:gd name="connsiteY189" fmla="*/ 644 h 91439"/>
              <a:gd name="connsiteX190" fmla="*/ 925347 w 1254402"/>
              <a:gd name="connsiteY190" fmla="*/ 644 h 91439"/>
              <a:gd name="connsiteX191" fmla="*/ 1009704 w 1254402"/>
              <a:gd name="connsiteY191" fmla="*/ 19318 h 91439"/>
              <a:gd name="connsiteX192" fmla="*/ 1030954 w 1254402"/>
              <a:gd name="connsiteY192" fmla="*/ 19318 h 91439"/>
              <a:gd name="connsiteX193" fmla="*/ 1030954 w 1254402"/>
              <a:gd name="connsiteY193" fmla="*/ 31553 h 91439"/>
              <a:gd name="connsiteX194" fmla="*/ 1009704 w 1254402"/>
              <a:gd name="connsiteY194" fmla="*/ 31553 h 91439"/>
              <a:gd name="connsiteX195" fmla="*/ 1009704 w 1254402"/>
              <a:gd name="connsiteY195" fmla="*/ 70190 h 91439"/>
              <a:gd name="connsiteX196" fmla="*/ 994893 w 1254402"/>
              <a:gd name="connsiteY196" fmla="*/ 70190 h 91439"/>
              <a:gd name="connsiteX197" fmla="*/ 994893 w 1254402"/>
              <a:gd name="connsiteY197" fmla="*/ 31553 h 91439"/>
              <a:gd name="connsiteX198" fmla="*/ 981370 w 1254402"/>
              <a:gd name="connsiteY198" fmla="*/ 31553 h 91439"/>
              <a:gd name="connsiteX199" fmla="*/ 981370 w 1254402"/>
              <a:gd name="connsiteY199" fmla="*/ 19318 h 91439"/>
              <a:gd name="connsiteX200" fmla="*/ 994893 w 1254402"/>
              <a:gd name="connsiteY200" fmla="*/ 19318 h 91439"/>
              <a:gd name="connsiteX201" fmla="*/ 994893 w 1254402"/>
              <a:gd name="connsiteY201" fmla="*/ 15455 h 91439"/>
              <a:gd name="connsiteX202" fmla="*/ 1016143 w 1254402"/>
              <a:gd name="connsiteY202" fmla="*/ 0 h 91439"/>
              <a:gd name="connsiteX203" fmla="*/ 1031598 w 1254402"/>
              <a:gd name="connsiteY203" fmla="*/ 644 h 91439"/>
              <a:gd name="connsiteX204" fmla="*/ 1031598 w 1254402"/>
              <a:gd name="connsiteY204" fmla="*/ 10947 h 91439"/>
              <a:gd name="connsiteX205" fmla="*/ 1021295 w 1254402"/>
              <a:gd name="connsiteY205" fmla="*/ 10303 h 91439"/>
              <a:gd name="connsiteX206" fmla="*/ 1009704 w 1254402"/>
              <a:gd name="connsiteY206" fmla="*/ 19318 h 91439"/>
              <a:gd name="connsiteX207" fmla="*/ 1056712 w 1254402"/>
              <a:gd name="connsiteY207" fmla="*/ 644 h 91439"/>
              <a:gd name="connsiteX208" fmla="*/ 1056712 w 1254402"/>
              <a:gd name="connsiteY208" fmla="*/ 69546 h 91439"/>
              <a:gd name="connsiteX209" fmla="*/ 1041901 w 1254402"/>
              <a:gd name="connsiteY209" fmla="*/ 69546 h 91439"/>
              <a:gd name="connsiteX210" fmla="*/ 1041901 w 1254402"/>
              <a:gd name="connsiteY210" fmla="*/ 644 h 91439"/>
              <a:gd name="connsiteX211" fmla="*/ 1056712 w 1254402"/>
              <a:gd name="connsiteY211" fmla="*/ 644 h 91439"/>
              <a:gd name="connsiteX212" fmla="*/ 1067659 w 1254402"/>
              <a:gd name="connsiteY212" fmla="*/ 44432 h 91439"/>
              <a:gd name="connsiteX213" fmla="*/ 1103076 w 1254402"/>
              <a:gd name="connsiteY213" fmla="*/ 18030 h 91439"/>
              <a:gd name="connsiteX214" fmla="*/ 1138493 w 1254402"/>
              <a:gd name="connsiteY214" fmla="*/ 44432 h 91439"/>
              <a:gd name="connsiteX215" fmla="*/ 1103076 w 1254402"/>
              <a:gd name="connsiteY215" fmla="*/ 70834 h 91439"/>
              <a:gd name="connsiteX216" fmla="*/ 1067659 w 1254402"/>
              <a:gd name="connsiteY216" fmla="*/ 44432 h 91439"/>
              <a:gd name="connsiteX217" fmla="*/ 1123038 w 1254402"/>
              <a:gd name="connsiteY217" fmla="*/ 44432 h 91439"/>
              <a:gd name="connsiteX218" fmla="*/ 1102432 w 1254402"/>
              <a:gd name="connsiteY218" fmla="*/ 30265 h 91439"/>
              <a:gd name="connsiteX219" fmla="*/ 1081825 w 1254402"/>
              <a:gd name="connsiteY219" fmla="*/ 44432 h 91439"/>
              <a:gd name="connsiteX220" fmla="*/ 1102432 w 1254402"/>
              <a:gd name="connsiteY220" fmla="*/ 58599 h 91439"/>
              <a:gd name="connsiteX221" fmla="*/ 1123038 w 1254402"/>
              <a:gd name="connsiteY221" fmla="*/ 44432 h 91439"/>
              <a:gd name="connsiteX222" fmla="*/ 1254402 w 1254402"/>
              <a:gd name="connsiteY222" fmla="*/ 19318 h 91439"/>
              <a:gd name="connsiteX223" fmla="*/ 1231864 w 1254402"/>
              <a:gd name="connsiteY223" fmla="*/ 70190 h 91439"/>
              <a:gd name="connsiteX224" fmla="*/ 1211902 w 1254402"/>
              <a:gd name="connsiteY224" fmla="*/ 70190 h 91439"/>
              <a:gd name="connsiteX225" fmla="*/ 1197091 w 1254402"/>
              <a:gd name="connsiteY225" fmla="*/ 34773 h 91439"/>
              <a:gd name="connsiteX226" fmla="*/ 1182281 w 1254402"/>
              <a:gd name="connsiteY226" fmla="*/ 70190 h 91439"/>
              <a:gd name="connsiteX227" fmla="*/ 1162318 w 1254402"/>
              <a:gd name="connsiteY227" fmla="*/ 70190 h 91439"/>
              <a:gd name="connsiteX228" fmla="*/ 1139780 w 1254402"/>
              <a:gd name="connsiteY228" fmla="*/ 19318 h 91439"/>
              <a:gd name="connsiteX229" fmla="*/ 1156523 w 1254402"/>
              <a:gd name="connsiteY229" fmla="*/ 19318 h 91439"/>
              <a:gd name="connsiteX230" fmla="*/ 1173265 w 1254402"/>
              <a:gd name="connsiteY230" fmla="*/ 58599 h 91439"/>
              <a:gd name="connsiteX231" fmla="*/ 1188720 w 1254402"/>
              <a:gd name="connsiteY231" fmla="*/ 19318 h 91439"/>
              <a:gd name="connsiteX232" fmla="*/ 1206107 w 1254402"/>
              <a:gd name="connsiteY232" fmla="*/ 19318 h 91439"/>
              <a:gd name="connsiteX233" fmla="*/ 1221561 w 1254402"/>
              <a:gd name="connsiteY233" fmla="*/ 57955 h 91439"/>
              <a:gd name="connsiteX234" fmla="*/ 1238304 w 1254402"/>
              <a:gd name="connsiteY234" fmla="*/ 18674 h 91439"/>
              <a:gd name="connsiteX235" fmla="*/ 1254402 w 1254402"/>
              <a:gd name="connsiteY235" fmla="*/ 18674 h 914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</a:cxnLst>
            <a:rect l="l" t="t" r="r" b="b"/>
            <a:pathLst>
              <a:path w="1254402" h="91439">
                <a:moveTo>
                  <a:pt x="70834" y="31553"/>
                </a:moveTo>
                <a:cubicBezTo>
                  <a:pt x="70834" y="45076"/>
                  <a:pt x="61175" y="53447"/>
                  <a:pt x="47652" y="53447"/>
                </a:cubicBezTo>
                <a:lnTo>
                  <a:pt x="15455" y="53447"/>
                </a:lnTo>
                <a:lnTo>
                  <a:pt x="15455" y="69546"/>
                </a:lnTo>
                <a:lnTo>
                  <a:pt x="0" y="69546"/>
                </a:lnTo>
                <a:lnTo>
                  <a:pt x="0" y="9015"/>
                </a:lnTo>
                <a:lnTo>
                  <a:pt x="47652" y="9015"/>
                </a:lnTo>
                <a:cubicBezTo>
                  <a:pt x="61175" y="9659"/>
                  <a:pt x="70834" y="18030"/>
                  <a:pt x="70834" y="31553"/>
                </a:cubicBezTo>
                <a:close/>
                <a:moveTo>
                  <a:pt x="55379" y="31553"/>
                </a:moveTo>
                <a:cubicBezTo>
                  <a:pt x="55379" y="22538"/>
                  <a:pt x="48296" y="22538"/>
                  <a:pt x="43788" y="22538"/>
                </a:cubicBezTo>
                <a:lnTo>
                  <a:pt x="16099" y="22538"/>
                </a:lnTo>
                <a:lnTo>
                  <a:pt x="16099" y="40568"/>
                </a:lnTo>
                <a:lnTo>
                  <a:pt x="43144" y="40568"/>
                </a:lnTo>
                <a:cubicBezTo>
                  <a:pt x="48296" y="40568"/>
                  <a:pt x="55379" y="40568"/>
                  <a:pt x="55379" y="31553"/>
                </a:cubicBezTo>
                <a:close/>
                <a:moveTo>
                  <a:pt x="79849" y="44432"/>
                </a:moveTo>
                <a:cubicBezTo>
                  <a:pt x="79849" y="25758"/>
                  <a:pt x="94016" y="18030"/>
                  <a:pt x="115266" y="18030"/>
                </a:cubicBezTo>
                <a:cubicBezTo>
                  <a:pt x="136516" y="18030"/>
                  <a:pt x="150683" y="25758"/>
                  <a:pt x="150683" y="44432"/>
                </a:cubicBezTo>
                <a:cubicBezTo>
                  <a:pt x="150683" y="63106"/>
                  <a:pt x="136516" y="70834"/>
                  <a:pt x="115266" y="70834"/>
                </a:cubicBezTo>
                <a:cubicBezTo>
                  <a:pt x="94016" y="70834"/>
                  <a:pt x="79849" y="63106"/>
                  <a:pt x="79849" y="44432"/>
                </a:cubicBezTo>
                <a:close/>
                <a:moveTo>
                  <a:pt x="135228" y="44432"/>
                </a:moveTo>
                <a:cubicBezTo>
                  <a:pt x="135228" y="34129"/>
                  <a:pt x="128789" y="30265"/>
                  <a:pt x="114622" y="30265"/>
                </a:cubicBezTo>
                <a:cubicBezTo>
                  <a:pt x="101099" y="30265"/>
                  <a:pt x="94016" y="33485"/>
                  <a:pt x="94016" y="44432"/>
                </a:cubicBezTo>
                <a:cubicBezTo>
                  <a:pt x="94016" y="54735"/>
                  <a:pt x="100455" y="58599"/>
                  <a:pt x="114622" y="58599"/>
                </a:cubicBezTo>
                <a:cubicBezTo>
                  <a:pt x="128789" y="58599"/>
                  <a:pt x="135228" y="54735"/>
                  <a:pt x="135228" y="44432"/>
                </a:cubicBezTo>
                <a:close/>
                <a:moveTo>
                  <a:pt x="173221" y="52159"/>
                </a:moveTo>
                <a:cubicBezTo>
                  <a:pt x="173221" y="57311"/>
                  <a:pt x="179016" y="59887"/>
                  <a:pt x="195115" y="59887"/>
                </a:cubicBezTo>
                <a:cubicBezTo>
                  <a:pt x="211214" y="59887"/>
                  <a:pt x="213789" y="58599"/>
                  <a:pt x="213789" y="54735"/>
                </a:cubicBezTo>
                <a:cubicBezTo>
                  <a:pt x="213789" y="50872"/>
                  <a:pt x="211214" y="50872"/>
                  <a:pt x="193827" y="49584"/>
                </a:cubicBezTo>
                <a:cubicBezTo>
                  <a:pt x="171289" y="48296"/>
                  <a:pt x="160342" y="46364"/>
                  <a:pt x="160342" y="34129"/>
                </a:cubicBezTo>
                <a:cubicBezTo>
                  <a:pt x="160342" y="20606"/>
                  <a:pt x="175797" y="18674"/>
                  <a:pt x="193827" y="18674"/>
                </a:cubicBezTo>
                <a:cubicBezTo>
                  <a:pt x="213145" y="18674"/>
                  <a:pt x="226668" y="21250"/>
                  <a:pt x="226668" y="35417"/>
                </a:cubicBezTo>
                <a:lnTo>
                  <a:pt x="211857" y="35417"/>
                </a:lnTo>
                <a:cubicBezTo>
                  <a:pt x="211857" y="30909"/>
                  <a:pt x="206706" y="30265"/>
                  <a:pt x="192539" y="30265"/>
                </a:cubicBezTo>
                <a:cubicBezTo>
                  <a:pt x="178372" y="30265"/>
                  <a:pt x="174509" y="31553"/>
                  <a:pt x="174509" y="34129"/>
                </a:cubicBezTo>
                <a:cubicBezTo>
                  <a:pt x="174509" y="37349"/>
                  <a:pt x="177085" y="37993"/>
                  <a:pt x="194471" y="39281"/>
                </a:cubicBezTo>
                <a:cubicBezTo>
                  <a:pt x="214433" y="40568"/>
                  <a:pt x="227956" y="41212"/>
                  <a:pt x="227956" y="54735"/>
                </a:cubicBezTo>
                <a:cubicBezTo>
                  <a:pt x="227956" y="68902"/>
                  <a:pt x="215077" y="71478"/>
                  <a:pt x="195759" y="71478"/>
                </a:cubicBezTo>
                <a:cubicBezTo>
                  <a:pt x="176441" y="71478"/>
                  <a:pt x="158410" y="68902"/>
                  <a:pt x="158410" y="52803"/>
                </a:cubicBezTo>
                <a:lnTo>
                  <a:pt x="173221" y="52803"/>
                </a:lnTo>
                <a:close/>
                <a:moveTo>
                  <a:pt x="254358" y="644"/>
                </a:moveTo>
                <a:lnTo>
                  <a:pt x="254358" y="13523"/>
                </a:lnTo>
                <a:lnTo>
                  <a:pt x="239547" y="13523"/>
                </a:lnTo>
                <a:lnTo>
                  <a:pt x="239547" y="644"/>
                </a:lnTo>
                <a:lnTo>
                  <a:pt x="254358" y="644"/>
                </a:lnTo>
                <a:close/>
                <a:moveTo>
                  <a:pt x="254358" y="19318"/>
                </a:moveTo>
                <a:lnTo>
                  <a:pt x="254358" y="70190"/>
                </a:lnTo>
                <a:lnTo>
                  <a:pt x="239547" y="70190"/>
                </a:lnTo>
                <a:lnTo>
                  <a:pt x="239547" y="19318"/>
                </a:lnTo>
                <a:lnTo>
                  <a:pt x="254358" y="19318"/>
                </a:lnTo>
                <a:close/>
                <a:moveTo>
                  <a:pt x="292994" y="31553"/>
                </a:moveTo>
                <a:lnTo>
                  <a:pt x="292994" y="46364"/>
                </a:lnTo>
                <a:cubicBezTo>
                  <a:pt x="292994" y="56023"/>
                  <a:pt x="294926" y="58599"/>
                  <a:pt x="303941" y="58599"/>
                </a:cubicBezTo>
                <a:cubicBezTo>
                  <a:pt x="308449" y="58599"/>
                  <a:pt x="311025" y="58599"/>
                  <a:pt x="316820" y="57955"/>
                </a:cubicBezTo>
                <a:lnTo>
                  <a:pt x="316820" y="69546"/>
                </a:lnTo>
                <a:cubicBezTo>
                  <a:pt x="311669" y="70190"/>
                  <a:pt x="306517" y="70834"/>
                  <a:pt x="299434" y="70834"/>
                </a:cubicBezTo>
                <a:cubicBezTo>
                  <a:pt x="286555" y="70834"/>
                  <a:pt x="278184" y="65682"/>
                  <a:pt x="278184" y="54735"/>
                </a:cubicBezTo>
                <a:lnTo>
                  <a:pt x="278184" y="31553"/>
                </a:lnTo>
                <a:lnTo>
                  <a:pt x="264661" y="31553"/>
                </a:lnTo>
                <a:lnTo>
                  <a:pt x="264661" y="19318"/>
                </a:lnTo>
                <a:lnTo>
                  <a:pt x="278184" y="19318"/>
                </a:lnTo>
                <a:lnTo>
                  <a:pt x="278184" y="9015"/>
                </a:lnTo>
                <a:lnTo>
                  <a:pt x="292994" y="4508"/>
                </a:lnTo>
                <a:lnTo>
                  <a:pt x="292994" y="19318"/>
                </a:lnTo>
                <a:lnTo>
                  <a:pt x="316820" y="19318"/>
                </a:lnTo>
                <a:lnTo>
                  <a:pt x="316820" y="31553"/>
                </a:lnTo>
                <a:lnTo>
                  <a:pt x="292994" y="31553"/>
                </a:lnTo>
                <a:close/>
                <a:moveTo>
                  <a:pt x="342578" y="644"/>
                </a:moveTo>
                <a:lnTo>
                  <a:pt x="342578" y="13523"/>
                </a:lnTo>
                <a:lnTo>
                  <a:pt x="327767" y="13523"/>
                </a:lnTo>
                <a:lnTo>
                  <a:pt x="327767" y="644"/>
                </a:lnTo>
                <a:lnTo>
                  <a:pt x="342578" y="644"/>
                </a:lnTo>
                <a:close/>
                <a:moveTo>
                  <a:pt x="342578" y="19318"/>
                </a:moveTo>
                <a:lnTo>
                  <a:pt x="342578" y="70190"/>
                </a:lnTo>
                <a:lnTo>
                  <a:pt x="327767" y="70190"/>
                </a:lnTo>
                <a:lnTo>
                  <a:pt x="327767" y="19318"/>
                </a:lnTo>
                <a:lnTo>
                  <a:pt x="342578" y="19318"/>
                </a:lnTo>
                <a:close/>
                <a:moveTo>
                  <a:pt x="424359" y="19318"/>
                </a:moveTo>
                <a:lnTo>
                  <a:pt x="398601" y="70190"/>
                </a:lnTo>
                <a:lnTo>
                  <a:pt x="377995" y="70190"/>
                </a:lnTo>
                <a:lnTo>
                  <a:pt x="352237" y="19318"/>
                </a:lnTo>
                <a:lnTo>
                  <a:pt x="368336" y="19318"/>
                </a:lnTo>
                <a:lnTo>
                  <a:pt x="388298" y="59887"/>
                </a:lnTo>
                <a:lnTo>
                  <a:pt x="408260" y="19318"/>
                </a:lnTo>
                <a:lnTo>
                  <a:pt x="424359" y="19318"/>
                </a:lnTo>
                <a:close/>
                <a:moveTo>
                  <a:pt x="481670" y="51515"/>
                </a:moveTo>
                <a:lnTo>
                  <a:pt x="496481" y="51515"/>
                </a:lnTo>
                <a:cubicBezTo>
                  <a:pt x="493261" y="64394"/>
                  <a:pt x="480382" y="70834"/>
                  <a:pt x="461708" y="70834"/>
                </a:cubicBezTo>
                <a:cubicBezTo>
                  <a:pt x="442389" y="70834"/>
                  <a:pt x="427579" y="63106"/>
                  <a:pt x="427579" y="44432"/>
                </a:cubicBezTo>
                <a:cubicBezTo>
                  <a:pt x="427579" y="25758"/>
                  <a:pt x="442389" y="18030"/>
                  <a:pt x="462995" y="18030"/>
                </a:cubicBezTo>
                <a:cubicBezTo>
                  <a:pt x="482314" y="18030"/>
                  <a:pt x="497768" y="24470"/>
                  <a:pt x="497768" y="47652"/>
                </a:cubicBezTo>
                <a:lnTo>
                  <a:pt x="442389" y="47652"/>
                </a:lnTo>
                <a:cubicBezTo>
                  <a:pt x="444321" y="56023"/>
                  <a:pt x="452048" y="58599"/>
                  <a:pt x="461708" y="58599"/>
                </a:cubicBezTo>
                <a:cubicBezTo>
                  <a:pt x="471367" y="58599"/>
                  <a:pt x="477806" y="56667"/>
                  <a:pt x="481670" y="51515"/>
                </a:cubicBezTo>
                <a:close/>
                <a:moveTo>
                  <a:pt x="442389" y="38637"/>
                </a:moveTo>
                <a:lnTo>
                  <a:pt x="481026" y="38637"/>
                </a:lnTo>
                <a:cubicBezTo>
                  <a:pt x="478450" y="31553"/>
                  <a:pt x="471367" y="29621"/>
                  <a:pt x="461708" y="29621"/>
                </a:cubicBezTo>
                <a:cubicBezTo>
                  <a:pt x="452048" y="29621"/>
                  <a:pt x="444965" y="31553"/>
                  <a:pt x="442389" y="38637"/>
                </a:cubicBezTo>
                <a:close/>
                <a:moveTo>
                  <a:pt x="622694" y="644"/>
                </a:moveTo>
                <a:lnTo>
                  <a:pt x="622694" y="69546"/>
                </a:lnTo>
                <a:lnTo>
                  <a:pt x="607883" y="69546"/>
                </a:lnTo>
                <a:lnTo>
                  <a:pt x="607883" y="61819"/>
                </a:lnTo>
                <a:cubicBezTo>
                  <a:pt x="602087" y="67614"/>
                  <a:pt x="593716" y="70834"/>
                  <a:pt x="582769" y="70834"/>
                </a:cubicBezTo>
                <a:cubicBezTo>
                  <a:pt x="566670" y="70834"/>
                  <a:pt x="552504" y="63750"/>
                  <a:pt x="552504" y="44432"/>
                </a:cubicBezTo>
                <a:cubicBezTo>
                  <a:pt x="552504" y="25114"/>
                  <a:pt x="566670" y="18030"/>
                  <a:pt x="582769" y="18030"/>
                </a:cubicBezTo>
                <a:cubicBezTo>
                  <a:pt x="593716" y="18030"/>
                  <a:pt x="602731" y="21250"/>
                  <a:pt x="607883" y="27046"/>
                </a:cubicBezTo>
                <a:lnTo>
                  <a:pt x="607883" y="644"/>
                </a:lnTo>
                <a:lnTo>
                  <a:pt x="622694" y="644"/>
                </a:lnTo>
                <a:close/>
                <a:moveTo>
                  <a:pt x="607883" y="44432"/>
                </a:moveTo>
                <a:cubicBezTo>
                  <a:pt x="607883" y="34129"/>
                  <a:pt x="600800" y="30265"/>
                  <a:pt x="587277" y="30265"/>
                </a:cubicBezTo>
                <a:cubicBezTo>
                  <a:pt x="574398" y="30265"/>
                  <a:pt x="566670" y="34129"/>
                  <a:pt x="566670" y="44432"/>
                </a:cubicBezTo>
                <a:cubicBezTo>
                  <a:pt x="566670" y="54735"/>
                  <a:pt x="573754" y="58599"/>
                  <a:pt x="587277" y="58599"/>
                </a:cubicBezTo>
                <a:cubicBezTo>
                  <a:pt x="600800" y="58599"/>
                  <a:pt x="607883" y="54735"/>
                  <a:pt x="607883" y="44432"/>
                </a:cubicBezTo>
                <a:close/>
                <a:moveTo>
                  <a:pt x="649739" y="644"/>
                </a:moveTo>
                <a:lnTo>
                  <a:pt x="649739" y="13523"/>
                </a:lnTo>
                <a:lnTo>
                  <a:pt x="634928" y="13523"/>
                </a:lnTo>
                <a:lnTo>
                  <a:pt x="634928" y="644"/>
                </a:lnTo>
                <a:lnTo>
                  <a:pt x="649739" y="644"/>
                </a:lnTo>
                <a:close/>
                <a:moveTo>
                  <a:pt x="649739" y="19318"/>
                </a:moveTo>
                <a:lnTo>
                  <a:pt x="649739" y="70190"/>
                </a:lnTo>
                <a:lnTo>
                  <a:pt x="634928" y="70190"/>
                </a:lnTo>
                <a:lnTo>
                  <a:pt x="634928" y="19318"/>
                </a:lnTo>
                <a:lnTo>
                  <a:pt x="649739" y="19318"/>
                </a:lnTo>
                <a:close/>
                <a:moveTo>
                  <a:pt x="730876" y="19318"/>
                </a:moveTo>
                <a:lnTo>
                  <a:pt x="730876" y="61819"/>
                </a:lnTo>
                <a:cubicBezTo>
                  <a:pt x="730876" y="82425"/>
                  <a:pt x="716709" y="91440"/>
                  <a:pt x="698035" y="91440"/>
                </a:cubicBezTo>
                <a:cubicBezTo>
                  <a:pt x="683224" y="91440"/>
                  <a:pt x="670989" y="88864"/>
                  <a:pt x="666482" y="87576"/>
                </a:cubicBezTo>
                <a:lnTo>
                  <a:pt x="666482" y="75985"/>
                </a:lnTo>
                <a:cubicBezTo>
                  <a:pt x="672277" y="77273"/>
                  <a:pt x="683868" y="79849"/>
                  <a:pt x="694815" y="79849"/>
                </a:cubicBezTo>
                <a:cubicBezTo>
                  <a:pt x="710270" y="79849"/>
                  <a:pt x="716065" y="74053"/>
                  <a:pt x="716065" y="61175"/>
                </a:cubicBezTo>
                <a:cubicBezTo>
                  <a:pt x="710914" y="66970"/>
                  <a:pt x="702543" y="70190"/>
                  <a:pt x="690308" y="70190"/>
                </a:cubicBezTo>
                <a:cubicBezTo>
                  <a:pt x="672921" y="70190"/>
                  <a:pt x="660686" y="62463"/>
                  <a:pt x="660686" y="44432"/>
                </a:cubicBezTo>
                <a:cubicBezTo>
                  <a:pt x="660686" y="26402"/>
                  <a:pt x="672921" y="18674"/>
                  <a:pt x="690308" y="18674"/>
                </a:cubicBezTo>
                <a:cubicBezTo>
                  <a:pt x="702543" y="18674"/>
                  <a:pt x="710914" y="21894"/>
                  <a:pt x="716065" y="27690"/>
                </a:cubicBezTo>
                <a:lnTo>
                  <a:pt x="716065" y="19318"/>
                </a:lnTo>
                <a:lnTo>
                  <a:pt x="730876" y="19318"/>
                </a:lnTo>
                <a:close/>
                <a:moveTo>
                  <a:pt x="715421" y="43788"/>
                </a:moveTo>
                <a:cubicBezTo>
                  <a:pt x="715421" y="34773"/>
                  <a:pt x="708982" y="30909"/>
                  <a:pt x="694815" y="30909"/>
                </a:cubicBezTo>
                <a:cubicBezTo>
                  <a:pt x="680648" y="30909"/>
                  <a:pt x="674209" y="34773"/>
                  <a:pt x="674209" y="43788"/>
                </a:cubicBezTo>
                <a:cubicBezTo>
                  <a:pt x="674209" y="52803"/>
                  <a:pt x="680648" y="56667"/>
                  <a:pt x="694815" y="56667"/>
                </a:cubicBezTo>
                <a:cubicBezTo>
                  <a:pt x="708982" y="56667"/>
                  <a:pt x="715421" y="52803"/>
                  <a:pt x="715421" y="43788"/>
                </a:cubicBezTo>
                <a:close/>
                <a:moveTo>
                  <a:pt x="757278" y="644"/>
                </a:moveTo>
                <a:lnTo>
                  <a:pt x="757278" y="13523"/>
                </a:lnTo>
                <a:lnTo>
                  <a:pt x="742467" y="13523"/>
                </a:lnTo>
                <a:lnTo>
                  <a:pt x="742467" y="644"/>
                </a:lnTo>
                <a:lnTo>
                  <a:pt x="757278" y="644"/>
                </a:lnTo>
                <a:close/>
                <a:moveTo>
                  <a:pt x="757278" y="19318"/>
                </a:moveTo>
                <a:lnTo>
                  <a:pt x="757278" y="70190"/>
                </a:lnTo>
                <a:lnTo>
                  <a:pt x="742467" y="70190"/>
                </a:lnTo>
                <a:lnTo>
                  <a:pt x="742467" y="19318"/>
                </a:lnTo>
                <a:lnTo>
                  <a:pt x="757278" y="19318"/>
                </a:lnTo>
                <a:close/>
                <a:moveTo>
                  <a:pt x="795914" y="31553"/>
                </a:moveTo>
                <a:lnTo>
                  <a:pt x="795914" y="46364"/>
                </a:lnTo>
                <a:cubicBezTo>
                  <a:pt x="795914" y="56023"/>
                  <a:pt x="797846" y="58599"/>
                  <a:pt x="806861" y="58599"/>
                </a:cubicBezTo>
                <a:cubicBezTo>
                  <a:pt x="811369" y="58599"/>
                  <a:pt x="813945" y="58599"/>
                  <a:pt x="819740" y="57955"/>
                </a:cubicBezTo>
                <a:lnTo>
                  <a:pt x="819740" y="69546"/>
                </a:lnTo>
                <a:cubicBezTo>
                  <a:pt x="814589" y="70190"/>
                  <a:pt x="809437" y="70834"/>
                  <a:pt x="802354" y="70834"/>
                </a:cubicBezTo>
                <a:cubicBezTo>
                  <a:pt x="789475" y="70834"/>
                  <a:pt x="781104" y="65682"/>
                  <a:pt x="781104" y="54735"/>
                </a:cubicBezTo>
                <a:lnTo>
                  <a:pt x="781104" y="31553"/>
                </a:lnTo>
                <a:lnTo>
                  <a:pt x="767581" y="31553"/>
                </a:lnTo>
                <a:lnTo>
                  <a:pt x="767581" y="19318"/>
                </a:lnTo>
                <a:lnTo>
                  <a:pt x="781104" y="19318"/>
                </a:lnTo>
                <a:lnTo>
                  <a:pt x="781104" y="9015"/>
                </a:lnTo>
                <a:lnTo>
                  <a:pt x="795914" y="4508"/>
                </a:lnTo>
                <a:lnTo>
                  <a:pt x="795914" y="19318"/>
                </a:lnTo>
                <a:lnTo>
                  <a:pt x="819740" y="19318"/>
                </a:lnTo>
                <a:lnTo>
                  <a:pt x="819740" y="31553"/>
                </a:lnTo>
                <a:lnTo>
                  <a:pt x="795914" y="31553"/>
                </a:lnTo>
                <a:close/>
                <a:moveTo>
                  <a:pt x="898301" y="44432"/>
                </a:moveTo>
                <a:lnTo>
                  <a:pt x="898301" y="70190"/>
                </a:lnTo>
                <a:lnTo>
                  <a:pt x="883491" y="70190"/>
                </a:lnTo>
                <a:lnTo>
                  <a:pt x="883491" y="63750"/>
                </a:lnTo>
                <a:cubicBezTo>
                  <a:pt x="874476" y="68258"/>
                  <a:pt x="864816" y="70834"/>
                  <a:pt x="852581" y="70834"/>
                </a:cubicBezTo>
                <a:cubicBezTo>
                  <a:pt x="838415" y="70834"/>
                  <a:pt x="829400" y="66326"/>
                  <a:pt x="829400" y="54735"/>
                </a:cubicBezTo>
                <a:cubicBezTo>
                  <a:pt x="829400" y="41856"/>
                  <a:pt x="843566" y="37349"/>
                  <a:pt x="860309" y="37349"/>
                </a:cubicBezTo>
                <a:cubicBezTo>
                  <a:pt x="869324" y="37349"/>
                  <a:pt x="877051" y="38637"/>
                  <a:pt x="883491" y="41212"/>
                </a:cubicBezTo>
                <a:cubicBezTo>
                  <a:pt x="883491" y="31553"/>
                  <a:pt x="871256" y="30909"/>
                  <a:pt x="864172" y="30909"/>
                </a:cubicBezTo>
                <a:cubicBezTo>
                  <a:pt x="857733" y="30909"/>
                  <a:pt x="849362" y="31553"/>
                  <a:pt x="839059" y="34773"/>
                </a:cubicBezTo>
                <a:lnTo>
                  <a:pt x="833907" y="23826"/>
                </a:lnTo>
                <a:cubicBezTo>
                  <a:pt x="844210" y="20606"/>
                  <a:pt x="854513" y="18674"/>
                  <a:pt x="864816" y="18674"/>
                </a:cubicBezTo>
                <a:cubicBezTo>
                  <a:pt x="886066" y="18030"/>
                  <a:pt x="898301" y="25114"/>
                  <a:pt x="898301" y="44432"/>
                </a:cubicBezTo>
                <a:close/>
                <a:moveTo>
                  <a:pt x="883491" y="50228"/>
                </a:moveTo>
                <a:cubicBezTo>
                  <a:pt x="878339" y="48296"/>
                  <a:pt x="871256" y="47008"/>
                  <a:pt x="862241" y="47008"/>
                </a:cubicBezTo>
                <a:cubicBezTo>
                  <a:pt x="851294" y="47008"/>
                  <a:pt x="844854" y="48940"/>
                  <a:pt x="844854" y="54091"/>
                </a:cubicBezTo>
                <a:cubicBezTo>
                  <a:pt x="844854" y="59243"/>
                  <a:pt x="850006" y="59887"/>
                  <a:pt x="857733" y="59887"/>
                </a:cubicBezTo>
                <a:cubicBezTo>
                  <a:pt x="865460" y="59887"/>
                  <a:pt x="877051" y="57311"/>
                  <a:pt x="884135" y="54091"/>
                </a:cubicBezTo>
                <a:lnTo>
                  <a:pt x="884135" y="50228"/>
                </a:lnTo>
                <a:close/>
                <a:moveTo>
                  <a:pt x="925347" y="644"/>
                </a:moveTo>
                <a:lnTo>
                  <a:pt x="925347" y="69546"/>
                </a:lnTo>
                <a:lnTo>
                  <a:pt x="910536" y="69546"/>
                </a:lnTo>
                <a:lnTo>
                  <a:pt x="910536" y="644"/>
                </a:lnTo>
                <a:lnTo>
                  <a:pt x="925347" y="644"/>
                </a:lnTo>
                <a:close/>
                <a:moveTo>
                  <a:pt x="1009704" y="19318"/>
                </a:moveTo>
                <a:lnTo>
                  <a:pt x="1030954" y="19318"/>
                </a:lnTo>
                <a:lnTo>
                  <a:pt x="1030954" y="31553"/>
                </a:lnTo>
                <a:lnTo>
                  <a:pt x="1009704" y="31553"/>
                </a:lnTo>
                <a:lnTo>
                  <a:pt x="1009704" y="70190"/>
                </a:lnTo>
                <a:lnTo>
                  <a:pt x="994893" y="70190"/>
                </a:lnTo>
                <a:lnTo>
                  <a:pt x="994893" y="31553"/>
                </a:lnTo>
                <a:lnTo>
                  <a:pt x="981370" y="31553"/>
                </a:lnTo>
                <a:lnTo>
                  <a:pt x="981370" y="19318"/>
                </a:lnTo>
                <a:lnTo>
                  <a:pt x="994893" y="19318"/>
                </a:lnTo>
                <a:lnTo>
                  <a:pt x="994893" y="15455"/>
                </a:lnTo>
                <a:cubicBezTo>
                  <a:pt x="994893" y="5152"/>
                  <a:pt x="1001332" y="0"/>
                  <a:pt x="1016143" y="0"/>
                </a:cubicBezTo>
                <a:cubicBezTo>
                  <a:pt x="1021295" y="0"/>
                  <a:pt x="1023870" y="0"/>
                  <a:pt x="1031598" y="644"/>
                </a:cubicBezTo>
                <a:lnTo>
                  <a:pt x="1031598" y="10947"/>
                </a:lnTo>
                <a:cubicBezTo>
                  <a:pt x="1028378" y="10947"/>
                  <a:pt x="1024514" y="10303"/>
                  <a:pt x="1021295" y="10303"/>
                </a:cubicBezTo>
                <a:cubicBezTo>
                  <a:pt x="1012279" y="10947"/>
                  <a:pt x="1009704" y="12879"/>
                  <a:pt x="1009704" y="19318"/>
                </a:cubicBezTo>
                <a:close/>
                <a:moveTo>
                  <a:pt x="1056712" y="644"/>
                </a:moveTo>
                <a:lnTo>
                  <a:pt x="1056712" y="69546"/>
                </a:lnTo>
                <a:lnTo>
                  <a:pt x="1041901" y="69546"/>
                </a:lnTo>
                <a:lnTo>
                  <a:pt x="1041901" y="644"/>
                </a:lnTo>
                <a:lnTo>
                  <a:pt x="1056712" y="644"/>
                </a:lnTo>
                <a:close/>
                <a:moveTo>
                  <a:pt x="1067659" y="44432"/>
                </a:moveTo>
                <a:cubicBezTo>
                  <a:pt x="1067659" y="25758"/>
                  <a:pt x="1081825" y="18030"/>
                  <a:pt x="1103076" y="18030"/>
                </a:cubicBezTo>
                <a:cubicBezTo>
                  <a:pt x="1124326" y="18030"/>
                  <a:pt x="1138493" y="25758"/>
                  <a:pt x="1138493" y="44432"/>
                </a:cubicBezTo>
                <a:cubicBezTo>
                  <a:pt x="1138493" y="63106"/>
                  <a:pt x="1124326" y="70834"/>
                  <a:pt x="1103076" y="70834"/>
                </a:cubicBezTo>
                <a:cubicBezTo>
                  <a:pt x="1081825" y="70834"/>
                  <a:pt x="1067659" y="63106"/>
                  <a:pt x="1067659" y="44432"/>
                </a:cubicBezTo>
                <a:close/>
                <a:moveTo>
                  <a:pt x="1123038" y="44432"/>
                </a:moveTo>
                <a:cubicBezTo>
                  <a:pt x="1123038" y="34129"/>
                  <a:pt x="1116598" y="30265"/>
                  <a:pt x="1102432" y="30265"/>
                </a:cubicBezTo>
                <a:cubicBezTo>
                  <a:pt x="1088909" y="30265"/>
                  <a:pt x="1081825" y="33485"/>
                  <a:pt x="1081825" y="44432"/>
                </a:cubicBezTo>
                <a:cubicBezTo>
                  <a:pt x="1081825" y="54735"/>
                  <a:pt x="1088265" y="58599"/>
                  <a:pt x="1102432" y="58599"/>
                </a:cubicBezTo>
                <a:cubicBezTo>
                  <a:pt x="1115954" y="58599"/>
                  <a:pt x="1123038" y="54735"/>
                  <a:pt x="1123038" y="44432"/>
                </a:cubicBezTo>
                <a:close/>
                <a:moveTo>
                  <a:pt x="1254402" y="19318"/>
                </a:moveTo>
                <a:lnTo>
                  <a:pt x="1231864" y="70190"/>
                </a:lnTo>
                <a:lnTo>
                  <a:pt x="1211902" y="70190"/>
                </a:lnTo>
                <a:lnTo>
                  <a:pt x="1197091" y="34773"/>
                </a:lnTo>
                <a:lnTo>
                  <a:pt x="1182281" y="70190"/>
                </a:lnTo>
                <a:lnTo>
                  <a:pt x="1162318" y="70190"/>
                </a:lnTo>
                <a:lnTo>
                  <a:pt x="1139780" y="19318"/>
                </a:lnTo>
                <a:lnTo>
                  <a:pt x="1156523" y="19318"/>
                </a:lnTo>
                <a:lnTo>
                  <a:pt x="1173265" y="58599"/>
                </a:lnTo>
                <a:lnTo>
                  <a:pt x="1188720" y="19318"/>
                </a:lnTo>
                <a:lnTo>
                  <a:pt x="1206107" y="19318"/>
                </a:lnTo>
                <a:lnTo>
                  <a:pt x="1221561" y="57955"/>
                </a:lnTo>
                <a:lnTo>
                  <a:pt x="1238304" y="18674"/>
                </a:lnTo>
                <a:lnTo>
                  <a:pt x="1254402" y="18674"/>
                </a:lnTo>
                <a:close/>
              </a:path>
            </a:pathLst>
          </a:custGeom>
          <a:solidFill>
            <a:srgbClr val="00AA9B"/>
          </a:solidFill>
          <a:ln w="6439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grpSp>
        <xdr:nvGrpSpPr>
          <xdr:cNvPr id="14" name="Graphique 9">
            <a:extLst>
              <a:ext uri="{FF2B5EF4-FFF2-40B4-BE49-F238E27FC236}">
                <a16:creationId xmlns:a16="http://schemas.microsoft.com/office/drawing/2014/main" id="{BCC06F7A-33B7-49AB-B0D8-6BAEEC89CD57}"/>
              </a:ext>
            </a:extLst>
          </xdr:cNvPr>
          <xdr:cNvGrpSpPr/>
        </xdr:nvGrpSpPr>
        <xdr:grpSpPr>
          <a:xfrm>
            <a:off x="13512800" y="647260"/>
            <a:ext cx="1824935" cy="273031"/>
            <a:chOff x="13512800" y="647260"/>
            <a:chExt cx="1824935" cy="273031"/>
          </a:xfrm>
        </xdr:grpSpPr>
        <xdr:sp macro="" textlink="">
          <xdr:nvSpPr>
            <xdr:cNvPr id="15" name="Forme libre : forme 19">
              <a:extLst>
                <a:ext uri="{FF2B5EF4-FFF2-40B4-BE49-F238E27FC236}">
                  <a16:creationId xmlns:a16="http://schemas.microsoft.com/office/drawing/2014/main" id="{AA28EA80-A2A8-4A5D-B237-6BEA8E1FDE6B}"/>
                </a:ext>
              </a:extLst>
            </xdr:cNvPr>
            <xdr:cNvSpPr/>
          </xdr:nvSpPr>
          <xdr:spPr>
            <a:xfrm>
              <a:off x="13512800" y="647260"/>
              <a:ext cx="1533229" cy="273031"/>
            </a:xfrm>
            <a:custGeom>
              <a:avLst/>
              <a:gdLst>
                <a:gd name="connsiteX0" fmla="*/ 358677 w 1533229"/>
                <a:gd name="connsiteY0" fmla="*/ 169357 h 273031"/>
                <a:gd name="connsiteX1" fmla="*/ 358677 w 1533229"/>
                <a:gd name="connsiteY1" fmla="*/ 269168 h 273031"/>
                <a:gd name="connsiteX2" fmla="*/ 285267 w 1533229"/>
                <a:gd name="connsiteY2" fmla="*/ 269168 h 273031"/>
                <a:gd name="connsiteX3" fmla="*/ 285267 w 1533229"/>
                <a:gd name="connsiteY3" fmla="*/ 198978 h 273031"/>
                <a:gd name="connsiteX4" fmla="*/ 242123 w 1533229"/>
                <a:gd name="connsiteY4" fmla="*/ 154546 h 273031"/>
                <a:gd name="connsiteX5" fmla="*/ 183524 w 1533229"/>
                <a:gd name="connsiteY5" fmla="*/ 177728 h 273031"/>
                <a:gd name="connsiteX6" fmla="*/ 183524 w 1533229"/>
                <a:gd name="connsiteY6" fmla="*/ 269812 h 273031"/>
                <a:gd name="connsiteX7" fmla="*/ 110758 w 1533229"/>
                <a:gd name="connsiteY7" fmla="*/ 269812 h 273031"/>
                <a:gd name="connsiteX8" fmla="*/ 110758 w 1533229"/>
                <a:gd name="connsiteY8" fmla="*/ 92084 h 273031"/>
                <a:gd name="connsiteX9" fmla="*/ 183524 w 1533229"/>
                <a:gd name="connsiteY9" fmla="*/ 92084 h 273031"/>
                <a:gd name="connsiteX10" fmla="*/ 183524 w 1533229"/>
                <a:gd name="connsiteY10" fmla="*/ 117842 h 273031"/>
                <a:gd name="connsiteX11" fmla="*/ 271744 w 1533229"/>
                <a:gd name="connsiteY11" fmla="*/ 90152 h 273031"/>
                <a:gd name="connsiteX12" fmla="*/ 358677 w 1533229"/>
                <a:gd name="connsiteY12" fmla="*/ 169357 h 273031"/>
                <a:gd name="connsiteX13" fmla="*/ 765005 w 1533229"/>
                <a:gd name="connsiteY13" fmla="*/ 36705 h 273031"/>
                <a:gd name="connsiteX14" fmla="*/ 692239 w 1533229"/>
                <a:gd name="connsiteY14" fmla="*/ 36705 h 273031"/>
                <a:gd name="connsiteX15" fmla="*/ 692239 w 1533229"/>
                <a:gd name="connsiteY15" fmla="*/ 92084 h 273031"/>
                <a:gd name="connsiteX16" fmla="*/ 652959 w 1533229"/>
                <a:gd name="connsiteY16" fmla="*/ 92084 h 273031"/>
                <a:gd name="connsiteX17" fmla="*/ 652959 w 1533229"/>
                <a:gd name="connsiteY17" fmla="*/ 151327 h 273031"/>
                <a:gd name="connsiteX18" fmla="*/ 692239 w 1533229"/>
                <a:gd name="connsiteY18" fmla="*/ 151327 h 273031"/>
                <a:gd name="connsiteX19" fmla="*/ 692239 w 1533229"/>
                <a:gd name="connsiteY19" fmla="*/ 269168 h 273031"/>
                <a:gd name="connsiteX20" fmla="*/ 838415 w 1533229"/>
                <a:gd name="connsiteY20" fmla="*/ 269168 h 273031"/>
                <a:gd name="connsiteX21" fmla="*/ 838415 w 1533229"/>
                <a:gd name="connsiteY21" fmla="*/ 209926 h 273031"/>
                <a:gd name="connsiteX22" fmla="*/ 765649 w 1533229"/>
                <a:gd name="connsiteY22" fmla="*/ 209926 h 273031"/>
                <a:gd name="connsiteX23" fmla="*/ 765649 w 1533229"/>
                <a:gd name="connsiteY23" fmla="*/ 151327 h 273031"/>
                <a:gd name="connsiteX24" fmla="*/ 838415 w 1533229"/>
                <a:gd name="connsiteY24" fmla="*/ 151327 h 273031"/>
                <a:gd name="connsiteX25" fmla="*/ 838415 w 1533229"/>
                <a:gd name="connsiteY25" fmla="*/ 92084 h 273031"/>
                <a:gd name="connsiteX26" fmla="*/ 765649 w 1533229"/>
                <a:gd name="connsiteY26" fmla="*/ 92084 h 273031"/>
                <a:gd name="connsiteX27" fmla="*/ 765649 w 1533229"/>
                <a:gd name="connsiteY27" fmla="*/ 36705 h 273031"/>
                <a:gd name="connsiteX28" fmla="*/ 632997 w 1533229"/>
                <a:gd name="connsiteY28" fmla="*/ 192539 h 273031"/>
                <a:gd name="connsiteX29" fmla="*/ 462352 w 1533229"/>
                <a:gd name="connsiteY29" fmla="*/ 192539 h 273031"/>
                <a:gd name="connsiteX30" fmla="*/ 508072 w 1533229"/>
                <a:gd name="connsiteY30" fmla="*/ 216365 h 273031"/>
                <a:gd name="connsiteX31" fmla="*/ 548640 w 1533229"/>
                <a:gd name="connsiteY31" fmla="*/ 209926 h 273031"/>
                <a:gd name="connsiteX32" fmla="*/ 627845 w 1533229"/>
                <a:gd name="connsiteY32" fmla="*/ 209926 h 273031"/>
                <a:gd name="connsiteX33" fmla="*/ 508072 w 1533229"/>
                <a:gd name="connsiteY33" fmla="*/ 273032 h 273031"/>
                <a:gd name="connsiteX34" fmla="*/ 388942 w 1533229"/>
                <a:gd name="connsiteY34" fmla="*/ 180304 h 273031"/>
                <a:gd name="connsiteX35" fmla="*/ 511291 w 1533229"/>
                <a:gd name="connsiteY35" fmla="*/ 87576 h 273031"/>
                <a:gd name="connsiteX36" fmla="*/ 632997 w 1533229"/>
                <a:gd name="connsiteY36" fmla="*/ 192539 h 273031"/>
                <a:gd name="connsiteX37" fmla="*/ 556367 w 1533229"/>
                <a:gd name="connsiteY37" fmla="*/ 152615 h 273031"/>
                <a:gd name="connsiteX38" fmla="*/ 510647 w 1533229"/>
                <a:gd name="connsiteY38" fmla="*/ 135228 h 273031"/>
                <a:gd name="connsiteX39" fmla="*/ 465571 w 1533229"/>
                <a:gd name="connsiteY39" fmla="*/ 152615 h 273031"/>
                <a:gd name="connsiteX40" fmla="*/ 556367 w 1533229"/>
                <a:gd name="connsiteY40" fmla="*/ 152615 h 273031"/>
                <a:gd name="connsiteX41" fmla="*/ 1041901 w 1533229"/>
                <a:gd name="connsiteY41" fmla="*/ 186744 h 273031"/>
                <a:gd name="connsiteX42" fmla="*/ 985878 w 1533229"/>
                <a:gd name="connsiteY42" fmla="*/ 208638 h 273031"/>
                <a:gd name="connsiteX43" fmla="*/ 943377 w 1533229"/>
                <a:gd name="connsiteY43" fmla="*/ 165493 h 273031"/>
                <a:gd name="connsiteX44" fmla="*/ 943377 w 1533229"/>
                <a:gd name="connsiteY44" fmla="*/ 92084 h 273031"/>
                <a:gd name="connsiteX45" fmla="*/ 870612 w 1533229"/>
                <a:gd name="connsiteY45" fmla="*/ 92084 h 273031"/>
                <a:gd name="connsiteX46" fmla="*/ 870612 w 1533229"/>
                <a:gd name="connsiteY46" fmla="*/ 194471 h 273031"/>
                <a:gd name="connsiteX47" fmla="*/ 957544 w 1533229"/>
                <a:gd name="connsiteY47" fmla="*/ 269812 h 273031"/>
                <a:gd name="connsiteX48" fmla="*/ 1041901 w 1533229"/>
                <a:gd name="connsiteY48" fmla="*/ 243411 h 273031"/>
                <a:gd name="connsiteX49" fmla="*/ 1041901 w 1533229"/>
                <a:gd name="connsiteY49" fmla="*/ 268524 h 273031"/>
                <a:gd name="connsiteX50" fmla="*/ 1114667 w 1533229"/>
                <a:gd name="connsiteY50" fmla="*/ 268524 h 273031"/>
                <a:gd name="connsiteX51" fmla="*/ 1114667 w 1533229"/>
                <a:gd name="connsiteY51" fmla="*/ 91440 h 273031"/>
                <a:gd name="connsiteX52" fmla="*/ 1041901 w 1533229"/>
                <a:gd name="connsiteY52" fmla="*/ 91440 h 273031"/>
                <a:gd name="connsiteX53" fmla="*/ 1041901 w 1533229"/>
                <a:gd name="connsiteY53" fmla="*/ 186744 h 273031"/>
                <a:gd name="connsiteX54" fmla="*/ 1457888 w 1533229"/>
                <a:gd name="connsiteY54" fmla="*/ 89508 h 273031"/>
                <a:gd name="connsiteX55" fmla="*/ 1371600 w 1533229"/>
                <a:gd name="connsiteY55" fmla="*/ 123637 h 273031"/>
                <a:gd name="connsiteX56" fmla="*/ 1305274 w 1533229"/>
                <a:gd name="connsiteY56" fmla="*/ 89508 h 273031"/>
                <a:gd name="connsiteX57" fmla="*/ 1225425 w 1533229"/>
                <a:gd name="connsiteY57" fmla="*/ 121705 h 273031"/>
                <a:gd name="connsiteX58" fmla="*/ 1225425 w 1533229"/>
                <a:gd name="connsiteY58" fmla="*/ 92084 h 273031"/>
                <a:gd name="connsiteX59" fmla="*/ 1152659 w 1533229"/>
                <a:gd name="connsiteY59" fmla="*/ 92084 h 273031"/>
                <a:gd name="connsiteX60" fmla="*/ 1152659 w 1533229"/>
                <a:gd name="connsiteY60" fmla="*/ 269168 h 273031"/>
                <a:gd name="connsiteX61" fmla="*/ 1225425 w 1533229"/>
                <a:gd name="connsiteY61" fmla="*/ 269168 h 273031"/>
                <a:gd name="connsiteX62" fmla="*/ 1225425 w 1533229"/>
                <a:gd name="connsiteY62" fmla="*/ 173865 h 273031"/>
                <a:gd name="connsiteX63" fmla="*/ 1273721 w 1533229"/>
                <a:gd name="connsiteY63" fmla="*/ 151327 h 273031"/>
                <a:gd name="connsiteX64" fmla="*/ 1307850 w 1533229"/>
                <a:gd name="connsiteY64" fmla="*/ 194471 h 273031"/>
                <a:gd name="connsiteX65" fmla="*/ 1307850 w 1533229"/>
                <a:gd name="connsiteY65" fmla="*/ 269168 h 273031"/>
                <a:gd name="connsiteX66" fmla="*/ 1380615 w 1533229"/>
                <a:gd name="connsiteY66" fmla="*/ 269168 h 273031"/>
                <a:gd name="connsiteX67" fmla="*/ 1380615 w 1533229"/>
                <a:gd name="connsiteY67" fmla="*/ 171933 h 273031"/>
                <a:gd name="connsiteX68" fmla="*/ 1426335 w 1533229"/>
                <a:gd name="connsiteY68" fmla="*/ 151327 h 273031"/>
                <a:gd name="connsiteX69" fmla="*/ 1460464 w 1533229"/>
                <a:gd name="connsiteY69" fmla="*/ 194471 h 273031"/>
                <a:gd name="connsiteX70" fmla="*/ 1460464 w 1533229"/>
                <a:gd name="connsiteY70" fmla="*/ 269168 h 273031"/>
                <a:gd name="connsiteX71" fmla="*/ 1533230 w 1533229"/>
                <a:gd name="connsiteY71" fmla="*/ 269168 h 273031"/>
                <a:gd name="connsiteX72" fmla="*/ 1533230 w 1533229"/>
                <a:gd name="connsiteY72" fmla="*/ 162918 h 273031"/>
                <a:gd name="connsiteX73" fmla="*/ 1457888 w 1533229"/>
                <a:gd name="connsiteY73" fmla="*/ 89508 h 273031"/>
                <a:gd name="connsiteX74" fmla="*/ 0 w 1533229"/>
                <a:gd name="connsiteY74" fmla="*/ 92084 h 273031"/>
                <a:gd name="connsiteX75" fmla="*/ 0 w 1533229"/>
                <a:gd name="connsiteY75" fmla="*/ 269168 h 273031"/>
                <a:gd name="connsiteX76" fmla="*/ 72766 w 1533229"/>
                <a:gd name="connsiteY76" fmla="*/ 269168 h 273031"/>
                <a:gd name="connsiteX77" fmla="*/ 72766 w 1533229"/>
                <a:gd name="connsiteY77" fmla="*/ 92084 h 273031"/>
                <a:gd name="connsiteX78" fmla="*/ 0 w 1533229"/>
                <a:gd name="connsiteY78" fmla="*/ 92084 h 273031"/>
                <a:gd name="connsiteX79" fmla="*/ 72766 w 1533229"/>
                <a:gd name="connsiteY79" fmla="*/ 0 h 273031"/>
                <a:gd name="connsiteX80" fmla="*/ 0 w 1533229"/>
                <a:gd name="connsiteY80" fmla="*/ 0 h 273031"/>
                <a:gd name="connsiteX81" fmla="*/ 0 w 1533229"/>
                <a:gd name="connsiteY81" fmla="*/ 72766 h 273031"/>
                <a:gd name="connsiteX82" fmla="*/ 72766 w 1533229"/>
                <a:gd name="connsiteY82" fmla="*/ 72766 h 273031"/>
                <a:gd name="connsiteX83" fmla="*/ 72766 w 1533229"/>
                <a:gd name="connsiteY83" fmla="*/ 0 h 2730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  <a:cxn ang="0">
                  <a:pos x="connsiteX66" y="connsiteY66"/>
                </a:cxn>
                <a:cxn ang="0">
                  <a:pos x="connsiteX67" y="connsiteY67"/>
                </a:cxn>
                <a:cxn ang="0">
                  <a:pos x="connsiteX68" y="connsiteY68"/>
                </a:cxn>
                <a:cxn ang="0">
                  <a:pos x="connsiteX69" y="connsiteY69"/>
                </a:cxn>
                <a:cxn ang="0">
                  <a:pos x="connsiteX70" y="connsiteY70"/>
                </a:cxn>
                <a:cxn ang="0">
                  <a:pos x="connsiteX71" y="connsiteY71"/>
                </a:cxn>
                <a:cxn ang="0">
                  <a:pos x="connsiteX72" y="connsiteY72"/>
                </a:cxn>
                <a:cxn ang="0">
                  <a:pos x="connsiteX73" y="connsiteY73"/>
                </a:cxn>
                <a:cxn ang="0">
                  <a:pos x="connsiteX74" y="connsiteY74"/>
                </a:cxn>
                <a:cxn ang="0">
                  <a:pos x="connsiteX75" y="connsiteY75"/>
                </a:cxn>
                <a:cxn ang="0">
                  <a:pos x="connsiteX76" y="connsiteY76"/>
                </a:cxn>
                <a:cxn ang="0">
                  <a:pos x="connsiteX77" y="connsiteY77"/>
                </a:cxn>
                <a:cxn ang="0">
                  <a:pos x="connsiteX78" y="connsiteY78"/>
                </a:cxn>
                <a:cxn ang="0">
                  <a:pos x="connsiteX79" y="connsiteY79"/>
                </a:cxn>
                <a:cxn ang="0">
                  <a:pos x="connsiteX80" y="connsiteY80"/>
                </a:cxn>
                <a:cxn ang="0">
                  <a:pos x="connsiteX81" y="connsiteY81"/>
                </a:cxn>
                <a:cxn ang="0">
                  <a:pos x="connsiteX82" y="connsiteY82"/>
                </a:cxn>
                <a:cxn ang="0">
                  <a:pos x="connsiteX83" y="connsiteY83"/>
                </a:cxn>
              </a:cxnLst>
              <a:rect l="l" t="t" r="r" b="b"/>
              <a:pathLst>
                <a:path w="1533229" h="273031">
                  <a:moveTo>
                    <a:pt x="358677" y="169357"/>
                  </a:moveTo>
                  <a:lnTo>
                    <a:pt x="358677" y="269168"/>
                  </a:lnTo>
                  <a:lnTo>
                    <a:pt x="285267" y="269168"/>
                  </a:lnTo>
                  <a:lnTo>
                    <a:pt x="285267" y="198978"/>
                  </a:lnTo>
                  <a:cubicBezTo>
                    <a:pt x="285267" y="167425"/>
                    <a:pt x="274964" y="154546"/>
                    <a:pt x="242123" y="154546"/>
                  </a:cubicBezTo>
                  <a:cubicBezTo>
                    <a:pt x="220229" y="154546"/>
                    <a:pt x="197691" y="164206"/>
                    <a:pt x="183524" y="177728"/>
                  </a:cubicBezTo>
                  <a:lnTo>
                    <a:pt x="183524" y="269812"/>
                  </a:lnTo>
                  <a:lnTo>
                    <a:pt x="110758" y="269812"/>
                  </a:lnTo>
                  <a:lnTo>
                    <a:pt x="110758" y="92084"/>
                  </a:lnTo>
                  <a:lnTo>
                    <a:pt x="183524" y="92084"/>
                  </a:lnTo>
                  <a:lnTo>
                    <a:pt x="183524" y="117842"/>
                  </a:lnTo>
                  <a:cubicBezTo>
                    <a:pt x="205418" y="102387"/>
                    <a:pt x="233108" y="90152"/>
                    <a:pt x="271744" y="90152"/>
                  </a:cubicBezTo>
                  <a:cubicBezTo>
                    <a:pt x="312957" y="90152"/>
                    <a:pt x="358677" y="103675"/>
                    <a:pt x="358677" y="169357"/>
                  </a:cubicBezTo>
                  <a:close/>
                  <a:moveTo>
                    <a:pt x="765005" y="36705"/>
                  </a:moveTo>
                  <a:lnTo>
                    <a:pt x="692239" y="36705"/>
                  </a:lnTo>
                  <a:lnTo>
                    <a:pt x="692239" y="92084"/>
                  </a:lnTo>
                  <a:lnTo>
                    <a:pt x="652959" y="92084"/>
                  </a:lnTo>
                  <a:lnTo>
                    <a:pt x="652959" y="151327"/>
                  </a:lnTo>
                  <a:lnTo>
                    <a:pt x="692239" y="151327"/>
                  </a:lnTo>
                  <a:lnTo>
                    <a:pt x="692239" y="269168"/>
                  </a:lnTo>
                  <a:lnTo>
                    <a:pt x="838415" y="269168"/>
                  </a:lnTo>
                  <a:lnTo>
                    <a:pt x="838415" y="209926"/>
                  </a:lnTo>
                  <a:lnTo>
                    <a:pt x="765649" y="209926"/>
                  </a:lnTo>
                  <a:lnTo>
                    <a:pt x="765649" y="151327"/>
                  </a:lnTo>
                  <a:lnTo>
                    <a:pt x="838415" y="151327"/>
                  </a:lnTo>
                  <a:lnTo>
                    <a:pt x="838415" y="92084"/>
                  </a:lnTo>
                  <a:lnTo>
                    <a:pt x="765649" y="92084"/>
                  </a:lnTo>
                  <a:lnTo>
                    <a:pt x="765649" y="36705"/>
                  </a:lnTo>
                  <a:close/>
                  <a:moveTo>
                    <a:pt x="632997" y="192539"/>
                  </a:moveTo>
                  <a:lnTo>
                    <a:pt x="462352" y="192539"/>
                  </a:lnTo>
                  <a:cubicBezTo>
                    <a:pt x="468147" y="211857"/>
                    <a:pt x="488109" y="216365"/>
                    <a:pt x="508072" y="216365"/>
                  </a:cubicBezTo>
                  <a:cubicBezTo>
                    <a:pt x="527390" y="216365"/>
                    <a:pt x="538337" y="215077"/>
                    <a:pt x="548640" y="209926"/>
                  </a:cubicBezTo>
                  <a:lnTo>
                    <a:pt x="627845" y="209926"/>
                  </a:lnTo>
                  <a:cubicBezTo>
                    <a:pt x="616254" y="252426"/>
                    <a:pt x="577617" y="273032"/>
                    <a:pt x="508072" y="273032"/>
                  </a:cubicBezTo>
                  <a:cubicBezTo>
                    <a:pt x="437882" y="273032"/>
                    <a:pt x="388942" y="246630"/>
                    <a:pt x="388942" y="180304"/>
                  </a:cubicBezTo>
                  <a:cubicBezTo>
                    <a:pt x="388942" y="113978"/>
                    <a:pt x="437882" y="87576"/>
                    <a:pt x="511291" y="87576"/>
                  </a:cubicBezTo>
                  <a:cubicBezTo>
                    <a:pt x="585345" y="87576"/>
                    <a:pt x="632997" y="113978"/>
                    <a:pt x="632997" y="192539"/>
                  </a:cubicBezTo>
                  <a:close/>
                  <a:moveTo>
                    <a:pt x="556367" y="152615"/>
                  </a:moveTo>
                  <a:cubicBezTo>
                    <a:pt x="547996" y="140380"/>
                    <a:pt x="529966" y="135228"/>
                    <a:pt x="510647" y="135228"/>
                  </a:cubicBezTo>
                  <a:cubicBezTo>
                    <a:pt x="491329" y="135228"/>
                    <a:pt x="473299" y="141024"/>
                    <a:pt x="465571" y="152615"/>
                  </a:cubicBezTo>
                  <a:lnTo>
                    <a:pt x="556367" y="152615"/>
                  </a:lnTo>
                  <a:close/>
                  <a:moveTo>
                    <a:pt x="1041901" y="186744"/>
                  </a:moveTo>
                  <a:cubicBezTo>
                    <a:pt x="1028378" y="199622"/>
                    <a:pt x="1006484" y="208638"/>
                    <a:pt x="985878" y="208638"/>
                  </a:cubicBezTo>
                  <a:cubicBezTo>
                    <a:pt x="954325" y="208638"/>
                    <a:pt x="943377" y="195759"/>
                    <a:pt x="943377" y="165493"/>
                  </a:cubicBezTo>
                  <a:lnTo>
                    <a:pt x="943377" y="92084"/>
                  </a:lnTo>
                  <a:lnTo>
                    <a:pt x="870612" y="92084"/>
                  </a:lnTo>
                  <a:lnTo>
                    <a:pt x="870612" y="194471"/>
                  </a:lnTo>
                  <a:cubicBezTo>
                    <a:pt x="870612" y="257577"/>
                    <a:pt x="918264" y="269812"/>
                    <a:pt x="957544" y="269812"/>
                  </a:cubicBezTo>
                  <a:cubicBezTo>
                    <a:pt x="994249" y="269812"/>
                    <a:pt x="1021295" y="258221"/>
                    <a:pt x="1041901" y="243411"/>
                  </a:cubicBezTo>
                  <a:lnTo>
                    <a:pt x="1041901" y="268524"/>
                  </a:lnTo>
                  <a:lnTo>
                    <a:pt x="1114667" y="268524"/>
                  </a:lnTo>
                  <a:lnTo>
                    <a:pt x="1114667" y="91440"/>
                  </a:lnTo>
                  <a:lnTo>
                    <a:pt x="1041901" y="91440"/>
                  </a:lnTo>
                  <a:lnTo>
                    <a:pt x="1041901" y="186744"/>
                  </a:lnTo>
                  <a:close/>
                  <a:moveTo>
                    <a:pt x="1457888" y="89508"/>
                  </a:moveTo>
                  <a:cubicBezTo>
                    <a:pt x="1414744" y="89508"/>
                    <a:pt x="1388987" y="103031"/>
                    <a:pt x="1371600" y="123637"/>
                  </a:cubicBezTo>
                  <a:cubicBezTo>
                    <a:pt x="1357433" y="97879"/>
                    <a:pt x="1327168" y="89508"/>
                    <a:pt x="1305274" y="89508"/>
                  </a:cubicBezTo>
                  <a:cubicBezTo>
                    <a:pt x="1262130" y="89508"/>
                    <a:pt x="1241523" y="106895"/>
                    <a:pt x="1225425" y="121705"/>
                  </a:cubicBezTo>
                  <a:lnTo>
                    <a:pt x="1225425" y="92084"/>
                  </a:lnTo>
                  <a:lnTo>
                    <a:pt x="1152659" y="92084"/>
                  </a:lnTo>
                  <a:lnTo>
                    <a:pt x="1152659" y="269168"/>
                  </a:lnTo>
                  <a:lnTo>
                    <a:pt x="1225425" y="269168"/>
                  </a:lnTo>
                  <a:lnTo>
                    <a:pt x="1225425" y="173865"/>
                  </a:lnTo>
                  <a:cubicBezTo>
                    <a:pt x="1240236" y="159054"/>
                    <a:pt x="1255690" y="151327"/>
                    <a:pt x="1273721" y="151327"/>
                  </a:cubicBezTo>
                  <a:cubicBezTo>
                    <a:pt x="1299478" y="151327"/>
                    <a:pt x="1307850" y="164206"/>
                    <a:pt x="1307850" y="194471"/>
                  </a:cubicBezTo>
                  <a:lnTo>
                    <a:pt x="1307850" y="269168"/>
                  </a:lnTo>
                  <a:lnTo>
                    <a:pt x="1380615" y="269168"/>
                  </a:lnTo>
                  <a:lnTo>
                    <a:pt x="1380615" y="171933"/>
                  </a:lnTo>
                  <a:cubicBezTo>
                    <a:pt x="1395426" y="157122"/>
                    <a:pt x="1408305" y="151327"/>
                    <a:pt x="1426335" y="151327"/>
                  </a:cubicBezTo>
                  <a:cubicBezTo>
                    <a:pt x="1452093" y="151327"/>
                    <a:pt x="1460464" y="164206"/>
                    <a:pt x="1460464" y="194471"/>
                  </a:cubicBezTo>
                  <a:lnTo>
                    <a:pt x="1460464" y="269168"/>
                  </a:lnTo>
                  <a:lnTo>
                    <a:pt x="1533230" y="269168"/>
                  </a:lnTo>
                  <a:lnTo>
                    <a:pt x="1533230" y="162918"/>
                  </a:lnTo>
                  <a:cubicBezTo>
                    <a:pt x="1533230" y="101743"/>
                    <a:pt x="1488798" y="89508"/>
                    <a:pt x="1457888" y="89508"/>
                  </a:cubicBezTo>
                  <a:close/>
                  <a:moveTo>
                    <a:pt x="0" y="92084"/>
                  </a:moveTo>
                  <a:lnTo>
                    <a:pt x="0" y="269168"/>
                  </a:lnTo>
                  <a:lnTo>
                    <a:pt x="72766" y="269168"/>
                  </a:lnTo>
                  <a:lnTo>
                    <a:pt x="72766" y="92084"/>
                  </a:lnTo>
                  <a:lnTo>
                    <a:pt x="0" y="92084"/>
                  </a:lnTo>
                  <a:close/>
                  <a:moveTo>
                    <a:pt x="72766" y="0"/>
                  </a:moveTo>
                  <a:lnTo>
                    <a:pt x="0" y="0"/>
                  </a:lnTo>
                  <a:lnTo>
                    <a:pt x="0" y="72766"/>
                  </a:lnTo>
                  <a:lnTo>
                    <a:pt x="72766" y="72766"/>
                  </a:lnTo>
                  <a:lnTo>
                    <a:pt x="72766" y="0"/>
                  </a:lnTo>
                  <a:close/>
                </a:path>
              </a:pathLst>
            </a:custGeom>
            <a:solidFill>
              <a:srgbClr val="232D4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  <xdr:sp macro="" textlink="">
          <xdr:nvSpPr>
            <xdr:cNvPr id="16" name="Forme libre : forme 20">
              <a:extLst>
                <a:ext uri="{FF2B5EF4-FFF2-40B4-BE49-F238E27FC236}">
                  <a16:creationId xmlns:a16="http://schemas.microsoft.com/office/drawing/2014/main" id="{5F1761C4-790B-4773-BC22-20A827C42FB7}"/>
                </a:ext>
              </a:extLst>
            </xdr:cNvPr>
            <xdr:cNvSpPr/>
          </xdr:nvSpPr>
          <xdr:spPr>
            <a:xfrm>
              <a:off x="15119439" y="697487"/>
              <a:ext cx="218296" cy="218940"/>
            </a:xfrm>
            <a:custGeom>
              <a:avLst/>
              <a:gdLst>
                <a:gd name="connsiteX0" fmla="*/ 72766 w 218296"/>
                <a:gd name="connsiteY0" fmla="*/ 0 h 218940"/>
                <a:gd name="connsiteX1" fmla="*/ 72766 w 218296"/>
                <a:gd name="connsiteY1" fmla="*/ 72766 h 218940"/>
                <a:gd name="connsiteX2" fmla="*/ 145531 w 218296"/>
                <a:gd name="connsiteY2" fmla="*/ 72766 h 218940"/>
                <a:gd name="connsiteX3" fmla="*/ 145531 w 218296"/>
                <a:gd name="connsiteY3" fmla="*/ 145531 h 218940"/>
                <a:gd name="connsiteX4" fmla="*/ 218297 w 218296"/>
                <a:gd name="connsiteY4" fmla="*/ 145531 h 218940"/>
                <a:gd name="connsiteX5" fmla="*/ 218297 w 218296"/>
                <a:gd name="connsiteY5" fmla="*/ 0 h 218940"/>
                <a:gd name="connsiteX6" fmla="*/ 72766 w 218296"/>
                <a:gd name="connsiteY6" fmla="*/ 0 h 218940"/>
                <a:gd name="connsiteX7" fmla="*/ 72766 w 218296"/>
                <a:gd name="connsiteY7" fmla="*/ 146175 h 218940"/>
                <a:gd name="connsiteX8" fmla="*/ 0 w 218296"/>
                <a:gd name="connsiteY8" fmla="*/ 146175 h 218940"/>
                <a:gd name="connsiteX9" fmla="*/ 0 w 218296"/>
                <a:gd name="connsiteY9" fmla="*/ 218941 h 218940"/>
                <a:gd name="connsiteX10" fmla="*/ 72766 w 218296"/>
                <a:gd name="connsiteY10" fmla="*/ 218941 h 218940"/>
                <a:gd name="connsiteX11" fmla="*/ 72766 w 218296"/>
                <a:gd name="connsiteY11" fmla="*/ 146175 h 2189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218296" h="218940">
                  <a:moveTo>
                    <a:pt x="72766" y="0"/>
                  </a:moveTo>
                  <a:lnTo>
                    <a:pt x="72766" y="72766"/>
                  </a:lnTo>
                  <a:lnTo>
                    <a:pt x="145531" y="72766"/>
                  </a:lnTo>
                  <a:lnTo>
                    <a:pt x="145531" y="145531"/>
                  </a:lnTo>
                  <a:lnTo>
                    <a:pt x="218297" y="145531"/>
                  </a:lnTo>
                  <a:lnTo>
                    <a:pt x="218297" y="0"/>
                  </a:lnTo>
                  <a:lnTo>
                    <a:pt x="72766" y="0"/>
                  </a:lnTo>
                  <a:close/>
                  <a:moveTo>
                    <a:pt x="72766" y="146175"/>
                  </a:moveTo>
                  <a:lnTo>
                    <a:pt x="0" y="146175"/>
                  </a:lnTo>
                  <a:lnTo>
                    <a:pt x="0" y="218941"/>
                  </a:lnTo>
                  <a:lnTo>
                    <a:pt x="72766" y="218941"/>
                  </a:lnTo>
                  <a:lnTo>
                    <a:pt x="72766" y="146175"/>
                  </a:lnTo>
                  <a:close/>
                </a:path>
              </a:pathLst>
            </a:custGeom>
            <a:solidFill>
              <a:srgbClr val="00AA9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295275</xdr:colOff>
      <xdr:row>47</xdr:row>
      <xdr:rowOff>0</xdr:rowOff>
    </xdr:from>
    <xdr:to>
      <xdr:col>10</xdr:col>
      <xdr:colOff>401955</xdr:colOff>
      <xdr:row>48</xdr:row>
      <xdr:rowOff>38100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11668125" y="836295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295275</xdr:colOff>
      <xdr:row>47</xdr:row>
      <xdr:rowOff>0</xdr:rowOff>
    </xdr:from>
    <xdr:to>
      <xdr:col>10</xdr:col>
      <xdr:colOff>401955</xdr:colOff>
      <xdr:row>48</xdr:row>
      <xdr:rowOff>38100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11668125" y="8362950"/>
          <a:ext cx="952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93980</xdr:colOff>
      <xdr:row>48</xdr:row>
      <xdr:rowOff>58896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9848850" y="8362950"/>
          <a:ext cx="104775" cy="2405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295275</xdr:colOff>
      <xdr:row>47</xdr:row>
      <xdr:rowOff>0</xdr:rowOff>
    </xdr:from>
    <xdr:to>
      <xdr:col>11</xdr:col>
      <xdr:colOff>401955</xdr:colOff>
      <xdr:row>48</xdr:row>
      <xdr:rowOff>58896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12430125" y="8362950"/>
          <a:ext cx="95250" cy="2405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295275</xdr:colOff>
      <xdr:row>47</xdr:row>
      <xdr:rowOff>0</xdr:rowOff>
    </xdr:from>
    <xdr:to>
      <xdr:col>11</xdr:col>
      <xdr:colOff>401955</xdr:colOff>
      <xdr:row>48</xdr:row>
      <xdr:rowOff>58896</xdr:rowOff>
    </xdr:to>
    <xdr:sp macro="" textlink="">
      <xdr:nvSpPr>
        <xdr:cNvPr id="6" name="Text Box 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12430125" y="8362950"/>
          <a:ext cx="95250" cy="2405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6350</xdr:colOff>
      <xdr:row>1</xdr:row>
      <xdr:rowOff>101600</xdr:rowOff>
    </xdr:from>
    <xdr:to>
      <xdr:col>1</xdr:col>
      <xdr:colOff>1990860</xdr:colOff>
      <xdr:row>3</xdr:row>
      <xdr:rowOff>77642</xdr:rowOff>
    </xdr:to>
    <xdr:grpSp>
      <xdr:nvGrpSpPr>
        <xdr:cNvPr id="22" name="Graphique 9">
          <a:extLst>
            <a:ext uri="{FF2B5EF4-FFF2-40B4-BE49-F238E27FC236}">
              <a16:creationId xmlns:a16="http://schemas.microsoft.com/office/drawing/2014/main" id="{D69CAB55-BF1D-4EA7-8E2F-F78565EA9331}"/>
            </a:ext>
          </a:extLst>
        </xdr:cNvPr>
        <xdr:cNvGrpSpPr>
          <a:grpSpLocks noChangeAspect="1"/>
        </xdr:cNvGrpSpPr>
      </xdr:nvGrpSpPr>
      <xdr:grpSpPr>
        <a:xfrm>
          <a:off x="225425" y="282575"/>
          <a:ext cx="1984510" cy="490392"/>
          <a:chOff x="13512800" y="647260"/>
          <a:chExt cx="1824935" cy="432728"/>
        </a:xfrm>
      </xdr:grpSpPr>
      <xdr:sp macro="" textlink="">
        <xdr:nvSpPr>
          <xdr:cNvPr id="23" name="Forme libre : forme 17">
            <a:extLst>
              <a:ext uri="{FF2B5EF4-FFF2-40B4-BE49-F238E27FC236}">
                <a16:creationId xmlns:a16="http://schemas.microsoft.com/office/drawing/2014/main" id="{A054B239-7F1F-46FB-A393-932B470A9FA2}"/>
              </a:ext>
            </a:extLst>
          </xdr:cNvPr>
          <xdr:cNvSpPr/>
        </xdr:nvSpPr>
        <xdr:spPr>
          <a:xfrm>
            <a:off x="13798067" y="988549"/>
            <a:ext cx="1254402" cy="91439"/>
          </a:xfrm>
          <a:custGeom>
            <a:avLst/>
            <a:gdLst>
              <a:gd name="connsiteX0" fmla="*/ 70834 w 1254402"/>
              <a:gd name="connsiteY0" fmla="*/ 31553 h 91439"/>
              <a:gd name="connsiteX1" fmla="*/ 47652 w 1254402"/>
              <a:gd name="connsiteY1" fmla="*/ 53447 h 91439"/>
              <a:gd name="connsiteX2" fmla="*/ 15455 w 1254402"/>
              <a:gd name="connsiteY2" fmla="*/ 53447 h 91439"/>
              <a:gd name="connsiteX3" fmla="*/ 15455 w 1254402"/>
              <a:gd name="connsiteY3" fmla="*/ 69546 h 91439"/>
              <a:gd name="connsiteX4" fmla="*/ 0 w 1254402"/>
              <a:gd name="connsiteY4" fmla="*/ 69546 h 91439"/>
              <a:gd name="connsiteX5" fmla="*/ 0 w 1254402"/>
              <a:gd name="connsiteY5" fmla="*/ 9015 h 91439"/>
              <a:gd name="connsiteX6" fmla="*/ 47652 w 1254402"/>
              <a:gd name="connsiteY6" fmla="*/ 9015 h 91439"/>
              <a:gd name="connsiteX7" fmla="*/ 70834 w 1254402"/>
              <a:gd name="connsiteY7" fmla="*/ 31553 h 91439"/>
              <a:gd name="connsiteX8" fmla="*/ 55379 w 1254402"/>
              <a:gd name="connsiteY8" fmla="*/ 31553 h 91439"/>
              <a:gd name="connsiteX9" fmla="*/ 43788 w 1254402"/>
              <a:gd name="connsiteY9" fmla="*/ 22538 h 91439"/>
              <a:gd name="connsiteX10" fmla="*/ 16099 w 1254402"/>
              <a:gd name="connsiteY10" fmla="*/ 22538 h 91439"/>
              <a:gd name="connsiteX11" fmla="*/ 16099 w 1254402"/>
              <a:gd name="connsiteY11" fmla="*/ 40568 h 91439"/>
              <a:gd name="connsiteX12" fmla="*/ 43144 w 1254402"/>
              <a:gd name="connsiteY12" fmla="*/ 40568 h 91439"/>
              <a:gd name="connsiteX13" fmla="*/ 55379 w 1254402"/>
              <a:gd name="connsiteY13" fmla="*/ 31553 h 91439"/>
              <a:gd name="connsiteX14" fmla="*/ 79849 w 1254402"/>
              <a:gd name="connsiteY14" fmla="*/ 44432 h 91439"/>
              <a:gd name="connsiteX15" fmla="*/ 115266 w 1254402"/>
              <a:gd name="connsiteY15" fmla="*/ 18030 h 91439"/>
              <a:gd name="connsiteX16" fmla="*/ 150683 w 1254402"/>
              <a:gd name="connsiteY16" fmla="*/ 44432 h 91439"/>
              <a:gd name="connsiteX17" fmla="*/ 115266 w 1254402"/>
              <a:gd name="connsiteY17" fmla="*/ 70834 h 91439"/>
              <a:gd name="connsiteX18" fmla="*/ 79849 w 1254402"/>
              <a:gd name="connsiteY18" fmla="*/ 44432 h 91439"/>
              <a:gd name="connsiteX19" fmla="*/ 135228 w 1254402"/>
              <a:gd name="connsiteY19" fmla="*/ 44432 h 91439"/>
              <a:gd name="connsiteX20" fmla="*/ 114622 w 1254402"/>
              <a:gd name="connsiteY20" fmla="*/ 30265 h 91439"/>
              <a:gd name="connsiteX21" fmla="*/ 94016 w 1254402"/>
              <a:gd name="connsiteY21" fmla="*/ 44432 h 91439"/>
              <a:gd name="connsiteX22" fmla="*/ 114622 w 1254402"/>
              <a:gd name="connsiteY22" fmla="*/ 58599 h 91439"/>
              <a:gd name="connsiteX23" fmla="*/ 135228 w 1254402"/>
              <a:gd name="connsiteY23" fmla="*/ 44432 h 91439"/>
              <a:gd name="connsiteX24" fmla="*/ 173221 w 1254402"/>
              <a:gd name="connsiteY24" fmla="*/ 52159 h 91439"/>
              <a:gd name="connsiteX25" fmla="*/ 195115 w 1254402"/>
              <a:gd name="connsiteY25" fmla="*/ 59887 h 91439"/>
              <a:gd name="connsiteX26" fmla="*/ 213789 w 1254402"/>
              <a:gd name="connsiteY26" fmla="*/ 54735 h 91439"/>
              <a:gd name="connsiteX27" fmla="*/ 193827 w 1254402"/>
              <a:gd name="connsiteY27" fmla="*/ 49584 h 91439"/>
              <a:gd name="connsiteX28" fmla="*/ 160342 w 1254402"/>
              <a:gd name="connsiteY28" fmla="*/ 34129 h 91439"/>
              <a:gd name="connsiteX29" fmla="*/ 193827 w 1254402"/>
              <a:gd name="connsiteY29" fmla="*/ 18674 h 91439"/>
              <a:gd name="connsiteX30" fmla="*/ 226668 w 1254402"/>
              <a:gd name="connsiteY30" fmla="*/ 35417 h 91439"/>
              <a:gd name="connsiteX31" fmla="*/ 211857 w 1254402"/>
              <a:gd name="connsiteY31" fmla="*/ 35417 h 91439"/>
              <a:gd name="connsiteX32" fmla="*/ 192539 w 1254402"/>
              <a:gd name="connsiteY32" fmla="*/ 30265 h 91439"/>
              <a:gd name="connsiteX33" fmla="*/ 174509 w 1254402"/>
              <a:gd name="connsiteY33" fmla="*/ 34129 h 91439"/>
              <a:gd name="connsiteX34" fmla="*/ 194471 w 1254402"/>
              <a:gd name="connsiteY34" fmla="*/ 39281 h 91439"/>
              <a:gd name="connsiteX35" fmla="*/ 227956 w 1254402"/>
              <a:gd name="connsiteY35" fmla="*/ 54735 h 91439"/>
              <a:gd name="connsiteX36" fmla="*/ 195759 w 1254402"/>
              <a:gd name="connsiteY36" fmla="*/ 71478 h 91439"/>
              <a:gd name="connsiteX37" fmla="*/ 158410 w 1254402"/>
              <a:gd name="connsiteY37" fmla="*/ 52803 h 91439"/>
              <a:gd name="connsiteX38" fmla="*/ 173221 w 1254402"/>
              <a:gd name="connsiteY38" fmla="*/ 52803 h 91439"/>
              <a:gd name="connsiteX39" fmla="*/ 254358 w 1254402"/>
              <a:gd name="connsiteY39" fmla="*/ 644 h 91439"/>
              <a:gd name="connsiteX40" fmla="*/ 254358 w 1254402"/>
              <a:gd name="connsiteY40" fmla="*/ 13523 h 91439"/>
              <a:gd name="connsiteX41" fmla="*/ 239547 w 1254402"/>
              <a:gd name="connsiteY41" fmla="*/ 13523 h 91439"/>
              <a:gd name="connsiteX42" fmla="*/ 239547 w 1254402"/>
              <a:gd name="connsiteY42" fmla="*/ 644 h 91439"/>
              <a:gd name="connsiteX43" fmla="*/ 254358 w 1254402"/>
              <a:gd name="connsiteY43" fmla="*/ 644 h 91439"/>
              <a:gd name="connsiteX44" fmla="*/ 254358 w 1254402"/>
              <a:gd name="connsiteY44" fmla="*/ 19318 h 91439"/>
              <a:gd name="connsiteX45" fmla="*/ 254358 w 1254402"/>
              <a:gd name="connsiteY45" fmla="*/ 70190 h 91439"/>
              <a:gd name="connsiteX46" fmla="*/ 239547 w 1254402"/>
              <a:gd name="connsiteY46" fmla="*/ 70190 h 91439"/>
              <a:gd name="connsiteX47" fmla="*/ 239547 w 1254402"/>
              <a:gd name="connsiteY47" fmla="*/ 19318 h 91439"/>
              <a:gd name="connsiteX48" fmla="*/ 254358 w 1254402"/>
              <a:gd name="connsiteY48" fmla="*/ 19318 h 91439"/>
              <a:gd name="connsiteX49" fmla="*/ 292994 w 1254402"/>
              <a:gd name="connsiteY49" fmla="*/ 31553 h 91439"/>
              <a:gd name="connsiteX50" fmla="*/ 292994 w 1254402"/>
              <a:gd name="connsiteY50" fmla="*/ 46364 h 91439"/>
              <a:gd name="connsiteX51" fmla="*/ 303941 w 1254402"/>
              <a:gd name="connsiteY51" fmla="*/ 58599 h 91439"/>
              <a:gd name="connsiteX52" fmla="*/ 316820 w 1254402"/>
              <a:gd name="connsiteY52" fmla="*/ 57955 h 91439"/>
              <a:gd name="connsiteX53" fmla="*/ 316820 w 1254402"/>
              <a:gd name="connsiteY53" fmla="*/ 69546 h 91439"/>
              <a:gd name="connsiteX54" fmla="*/ 299434 w 1254402"/>
              <a:gd name="connsiteY54" fmla="*/ 70834 h 91439"/>
              <a:gd name="connsiteX55" fmla="*/ 278184 w 1254402"/>
              <a:gd name="connsiteY55" fmla="*/ 54735 h 91439"/>
              <a:gd name="connsiteX56" fmla="*/ 278184 w 1254402"/>
              <a:gd name="connsiteY56" fmla="*/ 31553 h 91439"/>
              <a:gd name="connsiteX57" fmla="*/ 264661 w 1254402"/>
              <a:gd name="connsiteY57" fmla="*/ 31553 h 91439"/>
              <a:gd name="connsiteX58" fmla="*/ 264661 w 1254402"/>
              <a:gd name="connsiteY58" fmla="*/ 19318 h 91439"/>
              <a:gd name="connsiteX59" fmla="*/ 278184 w 1254402"/>
              <a:gd name="connsiteY59" fmla="*/ 19318 h 91439"/>
              <a:gd name="connsiteX60" fmla="*/ 278184 w 1254402"/>
              <a:gd name="connsiteY60" fmla="*/ 9015 h 91439"/>
              <a:gd name="connsiteX61" fmla="*/ 292994 w 1254402"/>
              <a:gd name="connsiteY61" fmla="*/ 4508 h 91439"/>
              <a:gd name="connsiteX62" fmla="*/ 292994 w 1254402"/>
              <a:gd name="connsiteY62" fmla="*/ 19318 h 91439"/>
              <a:gd name="connsiteX63" fmla="*/ 316820 w 1254402"/>
              <a:gd name="connsiteY63" fmla="*/ 19318 h 91439"/>
              <a:gd name="connsiteX64" fmla="*/ 316820 w 1254402"/>
              <a:gd name="connsiteY64" fmla="*/ 31553 h 91439"/>
              <a:gd name="connsiteX65" fmla="*/ 292994 w 1254402"/>
              <a:gd name="connsiteY65" fmla="*/ 31553 h 91439"/>
              <a:gd name="connsiteX66" fmla="*/ 342578 w 1254402"/>
              <a:gd name="connsiteY66" fmla="*/ 644 h 91439"/>
              <a:gd name="connsiteX67" fmla="*/ 342578 w 1254402"/>
              <a:gd name="connsiteY67" fmla="*/ 13523 h 91439"/>
              <a:gd name="connsiteX68" fmla="*/ 327767 w 1254402"/>
              <a:gd name="connsiteY68" fmla="*/ 13523 h 91439"/>
              <a:gd name="connsiteX69" fmla="*/ 327767 w 1254402"/>
              <a:gd name="connsiteY69" fmla="*/ 644 h 91439"/>
              <a:gd name="connsiteX70" fmla="*/ 342578 w 1254402"/>
              <a:gd name="connsiteY70" fmla="*/ 644 h 91439"/>
              <a:gd name="connsiteX71" fmla="*/ 342578 w 1254402"/>
              <a:gd name="connsiteY71" fmla="*/ 19318 h 91439"/>
              <a:gd name="connsiteX72" fmla="*/ 342578 w 1254402"/>
              <a:gd name="connsiteY72" fmla="*/ 70190 h 91439"/>
              <a:gd name="connsiteX73" fmla="*/ 327767 w 1254402"/>
              <a:gd name="connsiteY73" fmla="*/ 70190 h 91439"/>
              <a:gd name="connsiteX74" fmla="*/ 327767 w 1254402"/>
              <a:gd name="connsiteY74" fmla="*/ 19318 h 91439"/>
              <a:gd name="connsiteX75" fmla="*/ 342578 w 1254402"/>
              <a:gd name="connsiteY75" fmla="*/ 19318 h 91439"/>
              <a:gd name="connsiteX76" fmla="*/ 424359 w 1254402"/>
              <a:gd name="connsiteY76" fmla="*/ 19318 h 91439"/>
              <a:gd name="connsiteX77" fmla="*/ 398601 w 1254402"/>
              <a:gd name="connsiteY77" fmla="*/ 70190 h 91439"/>
              <a:gd name="connsiteX78" fmla="*/ 377995 w 1254402"/>
              <a:gd name="connsiteY78" fmla="*/ 70190 h 91439"/>
              <a:gd name="connsiteX79" fmla="*/ 352237 w 1254402"/>
              <a:gd name="connsiteY79" fmla="*/ 19318 h 91439"/>
              <a:gd name="connsiteX80" fmla="*/ 368336 w 1254402"/>
              <a:gd name="connsiteY80" fmla="*/ 19318 h 91439"/>
              <a:gd name="connsiteX81" fmla="*/ 388298 w 1254402"/>
              <a:gd name="connsiteY81" fmla="*/ 59887 h 91439"/>
              <a:gd name="connsiteX82" fmla="*/ 408260 w 1254402"/>
              <a:gd name="connsiteY82" fmla="*/ 19318 h 91439"/>
              <a:gd name="connsiteX83" fmla="*/ 424359 w 1254402"/>
              <a:gd name="connsiteY83" fmla="*/ 19318 h 91439"/>
              <a:gd name="connsiteX84" fmla="*/ 481670 w 1254402"/>
              <a:gd name="connsiteY84" fmla="*/ 51515 h 91439"/>
              <a:gd name="connsiteX85" fmla="*/ 496481 w 1254402"/>
              <a:gd name="connsiteY85" fmla="*/ 51515 h 91439"/>
              <a:gd name="connsiteX86" fmla="*/ 461708 w 1254402"/>
              <a:gd name="connsiteY86" fmla="*/ 70834 h 91439"/>
              <a:gd name="connsiteX87" fmla="*/ 427579 w 1254402"/>
              <a:gd name="connsiteY87" fmla="*/ 44432 h 91439"/>
              <a:gd name="connsiteX88" fmla="*/ 462995 w 1254402"/>
              <a:gd name="connsiteY88" fmla="*/ 18030 h 91439"/>
              <a:gd name="connsiteX89" fmla="*/ 497768 w 1254402"/>
              <a:gd name="connsiteY89" fmla="*/ 47652 h 91439"/>
              <a:gd name="connsiteX90" fmla="*/ 442389 w 1254402"/>
              <a:gd name="connsiteY90" fmla="*/ 47652 h 91439"/>
              <a:gd name="connsiteX91" fmla="*/ 461708 w 1254402"/>
              <a:gd name="connsiteY91" fmla="*/ 58599 h 91439"/>
              <a:gd name="connsiteX92" fmla="*/ 481670 w 1254402"/>
              <a:gd name="connsiteY92" fmla="*/ 51515 h 91439"/>
              <a:gd name="connsiteX93" fmla="*/ 442389 w 1254402"/>
              <a:gd name="connsiteY93" fmla="*/ 38637 h 91439"/>
              <a:gd name="connsiteX94" fmla="*/ 481026 w 1254402"/>
              <a:gd name="connsiteY94" fmla="*/ 38637 h 91439"/>
              <a:gd name="connsiteX95" fmla="*/ 461708 w 1254402"/>
              <a:gd name="connsiteY95" fmla="*/ 29621 h 91439"/>
              <a:gd name="connsiteX96" fmla="*/ 442389 w 1254402"/>
              <a:gd name="connsiteY96" fmla="*/ 38637 h 91439"/>
              <a:gd name="connsiteX97" fmla="*/ 622694 w 1254402"/>
              <a:gd name="connsiteY97" fmla="*/ 644 h 91439"/>
              <a:gd name="connsiteX98" fmla="*/ 622694 w 1254402"/>
              <a:gd name="connsiteY98" fmla="*/ 69546 h 91439"/>
              <a:gd name="connsiteX99" fmla="*/ 607883 w 1254402"/>
              <a:gd name="connsiteY99" fmla="*/ 69546 h 91439"/>
              <a:gd name="connsiteX100" fmla="*/ 607883 w 1254402"/>
              <a:gd name="connsiteY100" fmla="*/ 61819 h 91439"/>
              <a:gd name="connsiteX101" fmla="*/ 582769 w 1254402"/>
              <a:gd name="connsiteY101" fmla="*/ 70834 h 91439"/>
              <a:gd name="connsiteX102" fmla="*/ 552504 w 1254402"/>
              <a:gd name="connsiteY102" fmla="*/ 44432 h 91439"/>
              <a:gd name="connsiteX103" fmla="*/ 582769 w 1254402"/>
              <a:gd name="connsiteY103" fmla="*/ 18030 h 91439"/>
              <a:gd name="connsiteX104" fmla="*/ 607883 w 1254402"/>
              <a:gd name="connsiteY104" fmla="*/ 27046 h 91439"/>
              <a:gd name="connsiteX105" fmla="*/ 607883 w 1254402"/>
              <a:gd name="connsiteY105" fmla="*/ 644 h 91439"/>
              <a:gd name="connsiteX106" fmla="*/ 622694 w 1254402"/>
              <a:gd name="connsiteY106" fmla="*/ 644 h 91439"/>
              <a:gd name="connsiteX107" fmla="*/ 607883 w 1254402"/>
              <a:gd name="connsiteY107" fmla="*/ 44432 h 91439"/>
              <a:gd name="connsiteX108" fmla="*/ 587277 w 1254402"/>
              <a:gd name="connsiteY108" fmla="*/ 30265 h 91439"/>
              <a:gd name="connsiteX109" fmla="*/ 566670 w 1254402"/>
              <a:gd name="connsiteY109" fmla="*/ 44432 h 91439"/>
              <a:gd name="connsiteX110" fmla="*/ 587277 w 1254402"/>
              <a:gd name="connsiteY110" fmla="*/ 58599 h 91439"/>
              <a:gd name="connsiteX111" fmla="*/ 607883 w 1254402"/>
              <a:gd name="connsiteY111" fmla="*/ 44432 h 91439"/>
              <a:gd name="connsiteX112" fmla="*/ 649739 w 1254402"/>
              <a:gd name="connsiteY112" fmla="*/ 644 h 91439"/>
              <a:gd name="connsiteX113" fmla="*/ 649739 w 1254402"/>
              <a:gd name="connsiteY113" fmla="*/ 13523 h 91439"/>
              <a:gd name="connsiteX114" fmla="*/ 634928 w 1254402"/>
              <a:gd name="connsiteY114" fmla="*/ 13523 h 91439"/>
              <a:gd name="connsiteX115" fmla="*/ 634928 w 1254402"/>
              <a:gd name="connsiteY115" fmla="*/ 644 h 91439"/>
              <a:gd name="connsiteX116" fmla="*/ 649739 w 1254402"/>
              <a:gd name="connsiteY116" fmla="*/ 644 h 91439"/>
              <a:gd name="connsiteX117" fmla="*/ 649739 w 1254402"/>
              <a:gd name="connsiteY117" fmla="*/ 19318 h 91439"/>
              <a:gd name="connsiteX118" fmla="*/ 649739 w 1254402"/>
              <a:gd name="connsiteY118" fmla="*/ 70190 h 91439"/>
              <a:gd name="connsiteX119" fmla="*/ 634928 w 1254402"/>
              <a:gd name="connsiteY119" fmla="*/ 70190 h 91439"/>
              <a:gd name="connsiteX120" fmla="*/ 634928 w 1254402"/>
              <a:gd name="connsiteY120" fmla="*/ 19318 h 91439"/>
              <a:gd name="connsiteX121" fmla="*/ 649739 w 1254402"/>
              <a:gd name="connsiteY121" fmla="*/ 19318 h 91439"/>
              <a:gd name="connsiteX122" fmla="*/ 730876 w 1254402"/>
              <a:gd name="connsiteY122" fmla="*/ 19318 h 91439"/>
              <a:gd name="connsiteX123" fmla="*/ 730876 w 1254402"/>
              <a:gd name="connsiteY123" fmla="*/ 61819 h 91439"/>
              <a:gd name="connsiteX124" fmla="*/ 698035 w 1254402"/>
              <a:gd name="connsiteY124" fmla="*/ 91440 h 91439"/>
              <a:gd name="connsiteX125" fmla="*/ 666482 w 1254402"/>
              <a:gd name="connsiteY125" fmla="*/ 87576 h 91439"/>
              <a:gd name="connsiteX126" fmla="*/ 666482 w 1254402"/>
              <a:gd name="connsiteY126" fmla="*/ 75985 h 91439"/>
              <a:gd name="connsiteX127" fmla="*/ 694815 w 1254402"/>
              <a:gd name="connsiteY127" fmla="*/ 79849 h 91439"/>
              <a:gd name="connsiteX128" fmla="*/ 716065 w 1254402"/>
              <a:gd name="connsiteY128" fmla="*/ 61175 h 91439"/>
              <a:gd name="connsiteX129" fmla="*/ 690308 w 1254402"/>
              <a:gd name="connsiteY129" fmla="*/ 70190 h 91439"/>
              <a:gd name="connsiteX130" fmla="*/ 660686 w 1254402"/>
              <a:gd name="connsiteY130" fmla="*/ 44432 h 91439"/>
              <a:gd name="connsiteX131" fmla="*/ 690308 w 1254402"/>
              <a:gd name="connsiteY131" fmla="*/ 18674 h 91439"/>
              <a:gd name="connsiteX132" fmla="*/ 716065 w 1254402"/>
              <a:gd name="connsiteY132" fmla="*/ 27690 h 91439"/>
              <a:gd name="connsiteX133" fmla="*/ 716065 w 1254402"/>
              <a:gd name="connsiteY133" fmla="*/ 19318 h 91439"/>
              <a:gd name="connsiteX134" fmla="*/ 730876 w 1254402"/>
              <a:gd name="connsiteY134" fmla="*/ 19318 h 91439"/>
              <a:gd name="connsiteX135" fmla="*/ 715421 w 1254402"/>
              <a:gd name="connsiteY135" fmla="*/ 43788 h 91439"/>
              <a:gd name="connsiteX136" fmla="*/ 694815 w 1254402"/>
              <a:gd name="connsiteY136" fmla="*/ 30909 h 91439"/>
              <a:gd name="connsiteX137" fmla="*/ 674209 w 1254402"/>
              <a:gd name="connsiteY137" fmla="*/ 43788 h 91439"/>
              <a:gd name="connsiteX138" fmla="*/ 694815 w 1254402"/>
              <a:gd name="connsiteY138" fmla="*/ 56667 h 91439"/>
              <a:gd name="connsiteX139" fmla="*/ 715421 w 1254402"/>
              <a:gd name="connsiteY139" fmla="*/ 43788 h 91439"/>
              <a:gd name="connsiteX140" fmla="*/ 757278 w 1254402"/>
              <a:gd name="connsiteY140" fmla="*/ 644 h 91439"/>
              <a:gd name="connsiteX141" fmla="*/ 757278 w 1254402"/>
              <a:gd name="connsiteY141" fmla="*/ 13523 h 91439"/>
              <a:gd name="connsiteX142" fmla="*/ 742467 w 1254402"/>
              <a:gd name="connsiteY142" fmla="*/ 13523 h 91439"/>
              <a:gd name="connsiteX143" fmla="*/ 742467 w 1254402"/>
              <a:gd name="connsiteY143" fmla="*/ 644 h 91439"/>
              <a:gd name="connsiteX144" fmla="*/ 757278 w 1254402"/>
              <a:gd name="connsiteY144" fmla="*/ 644 h 91439"/>
              <a:gd name="connsiteX145" fmla="*/ 757278 w 1254402"/>
              <a:gd name="connsiteY145" fmla="*/ 19318 h 91439"/>
              <a:gd name="connsiteX146" fmla="*/ 757278 w 1254402"/>
              <a:gd name="connsiteY146" fmla="*/ 70190 h 91439"/>
              <a:gd name="connsiteX147" fmla="*/ 742467 w 1254402"/>
              <a:gd name="connsiteY147" fmla="*/ 70190 h 91439"/>
              <a:gd name="connsiteX148" fmla="*/ 742467 w 1254402"/>
              <a:gd name="connsiteY148" fmla="*/ 19318 h 91439"/>
              <a:gd name="connsiteX149" fmla="*/ 757278 w 1254402"/>
              <a:gd name="connsiteY149" fmla="*/ 19318 h 91439"/>
              <a:gd name="connsiteX150" fmla="*/ 795914 w 1254402"/>
              <a:gd name="connsiteY150" fmla="*/ 31553 h 91439"/>
              <a:gd name="connsiteX151" fmla="*/ 795914 w 1254402"/>
              <a:gd name="connsiteY151" fmla="*/ 46364 h 91439"/>
              <a:gd name="connsiteX152" fmla="*/ 806861 w 1254402"/>
              <a:gd name="connsiteY152" fmla="*/ 58599 h 91439"/>
              <a:gd name="connsiteX153" fmla="*/ 819740 w 1254402"/>
              <a:gd name="connsiteY153" fmla="*/ 57955 h 91439"/>
              <a:gd name="connsiteX154" fmla="*/ 819740 w 1254402"/>
              <a:gd name="connsiteY154" fmla="*/ 69546 h 91439"/>
              <a:gd name="connsiteX155" fmla="*/ 802354 w 1254402"/>
              <a:gd name="connsiteY155" fmla="*/ 70834 h 91439"/>
              <a:gd name="connsiteX156" fmla="*/ 781104 w 1254402"/>
              <a:gd name="connsiteY156" fmla="*/ 54735 h 91439"/>
              <a:gd name="connsiteX157" fmla="*/ 781104 w 1254402"/>
              <a:gd name="connsiteY157" fmla="*/ 31553 h 91439"/>
              <a:gd name="connsiteX158" fmla="*/ 767581 w 1254402"/>
              <a:gd name="connsiteY158" fmla="*/ 31553 h 91439"/>
              <a:gd name="connsiteX159" fmla="*/ 767581 w 1254402"/>
              <a:gd name="connsiteY159" fmla="*/ 19318 h 91439"/>
              <a:gd name="connsiteX160" fmla="*/ 781104 w 1254402"/>
              <a:gd name="connsiteY160" fmla="*/ 19318 h 91439"/>
              <a:gd name="connsiteX161" fmla="*/ 781104 w 1254402"/>
              <a:gd name="connsiteY161" fmla="*/ 9015 h 91439"/>
              <a:gd name="connsiteX162" fmla="*/ 795914 w 1254402"/>
              <a:gd name="connsiteY162" fmla="*/ 4508 h 91439"/>
              <a:gd name="connsiteX163" fmla="*/ 795914 w 1254402"/>
              <a:gd name="connsiteY163" fmla="*/ 19318 h 91439"/>
              <a:gd name="connsiteX164" fmla="*/ 819740 w 1254402"/>
              <a:gd name="connsiteY164" fmla="*/ 19318 h 91439"/>
              <a:gd name="connsiteX165" fmla="*/ 819740 w 1254402"/>
              <a:gd name="connsiteY165" fmla="*/ 31553 h 91439"/>
              <a:gd name="connsiteX166" fmla="*/ 795914 w 1254402"/>
              <a:gd name="connsiteY166" fmla="*/ 31553 h 91439"/>
              <a:gd name="connsiteX167" fmla="*/ 898301 w 1254402"/>
              <a:gd name="connsiteY167" fmla="*/ 44432 h 91439"/>
              <a:gd name="connsiteX168" fmla="*/ 898301 w 1254402"/>
              <a:gd name="connsiteY168" fmla="*/ 70190 h 91439"/>
              <a:gd name="connsiteX169" fmla="*/ 883491 w 1254402"/>
              <a:gd name="connsiteY169" fmla="*/ 70190 h 91439"/>
              <a:gd name="connsiteX170" fmla="*/ 883491 w 1254402"/>
              <a:gd name="connsiteY170" fmla="*/ 63750 h 91439"/>
              <a:gd name="connsiteX171" fmla="*/ 852581 w 1254402"/>
              <a:gd name="connsiteY171" fmla="*/ 70834 h 91439"/>
              <a:gd name="connsiteX172" fmla="*/ 829400 w 1254402"/>
              <a:gd name="connsiteY172" fmla="*/ 54735 h 91439"/>
              <a:gd name="connsiteX173" fmla="*/ 860309 w 1254402"/>
              <a:gd name="connsiteY173" fmla="*/ 37349 h 91439"/>
              <a:gd name="connsiteX174" fmla="*/ 883491 w 1254402"/>
              <a:gd name="connsiteY174" fmla="*/ 41212 h 91439"/>
              <a:gd name="connsiteX175" fmla="*/ 864172 w 1254402"/>
              <a:gd name="connsiteY175" fmla="*/ 30909 h 91439"/>
              <a:gd name="connsiteX176" fmla="*/ 839059 w 1254402"/>
              <a:gd name="connsiteY176" fmla="*/ 34773 h 91439"/>
              <a:gd name="connsiteX177" fmla="*/ 833907 w 1254402"/>
              <a:gd name="connsiteY177" fmla="*/ 23826 h 91439"/>
              <a:gd name="connsiteX178" fmla="*/ 864816 w 1254402"/>
              <a:gd name="connsiteY178" fmla="*/ 18674 h 91439"/>
              <a:gd name="connsiteX179" fmla="*/ 898301 w 1254402"/>
              <a:gd name="connsiteY179" fmla="*/ 44432 h 91439"/>
              <a:gd name="connsiteX180" fmla="*/ 883491 w 1254402"/>
              <a:gd name="connsiteY180" fmla="*/ 50228 h 91439"/>
              <a:gd name="connsiteX181" fmla="*/ 862241 w 1254402"/>
              <a:gd name="connsiteY181" fmla="*/ 47008 h 91439"/>
              <a:gd name="connsiteX182" fmla="*/ 844854 w 1254402"/>
              <a:gd name="connsiteY182" fmla="*/ 54091 h 91439"/>
              <a:gd name="connsiteX183" fmla="*/ 857733 w 1254402"/>
              <a:gd name="connsiteY183" fmla="*/ 59887 h 91439"/>
              <a:gd name="connsiteX184" fmla="*/ 884135 w 1254402"/>
              <a:gd name="connsiteY184" fmla="*/ 54091 h 91439"/>
              <a:gd name="connsiteX185" fmla="*/ 884135 w 1254402"/>
              <a:gd name="connsiteY185" fmla="*/ 50228 h 91439"/>
              <a:gd name="connsiteX186" fmla="*/ 925347 w 1254402"/>
              <a:gd name="connsiteY186" fmla="*/ 644 h 91439"/>
              <a:gd name="connsiteX187" fmla="*/ 925347 w 1254402"/>
              <a:gd name="connsiteY187" fmla="*/ 69546 h 91439"/>
              <a:gd name="connsiteX188" fmla="*/ 910536 w 1254402"/>
              <a:gd name="connsiteY188" fmla="*/ 69546 h 91439"/>
              <a:gd name="connsiteX189" fmla="*/ 910536 w 1254402"/>
              <a:gd name="connsiteY189" fmla="*/ 644 h 91439"/>
              <a:gd name="connsiteX190" fmla="*/ 925347 w 1254402"/>
              <a:gd name="connsiteY190" fmla="*/ 644 h 91439"/>
              <a:gd name="connsiteX191" fmla="*/ 1009704 w 1254402"/>
              <a:gd name="connsiteY191" fmla="*/ 19318 h 91439"/>
              <a:gd name="connsiteX192" fmla="*/ 1030954 w 1254402"/>
              <a:gd name="connsiteY192" fmla="*/ 19318 h 91439"/>
              <a:gd name="connsiteX193" fmla="*/ 1030954 w 1254402"/>
              <a:gd name="connsiteY193" fmla="*/ 31553 h 91439"/>
              <a:gd name="connsiteX194" fmla="*/ 1009704 w 1254402"/>
              <a:gd name="connsiteY194" fmla="*/ 31553 h 91439"/>
              <a:gd name="connsiteX195" fmla="*/ 1009704 w 1254402"/>
              <a:gd name="connsiteY195" fmla="*/ 70190 h 91439"/>
              <a:gd name="connsiteX196" fmla="*/ 994893 w 1254402"/>
              <a:gd name="connsiteY196" fmla="*/ 70190 h 91439"/>
              <a:gd name="connsiteX197" fmla="*/ 994893 w 1254402"/>
              <a:gd name="connsiteY197" fmla="*/ 31553 h 91439"/>
              <a:gd name="connsiteX198" fmla="*/ 981370 w 1254402"/>
              <a:gd name="connsiteY198" fmla="*/ 31553 h 91439"/>
              <a:gd name="connsiteX199" fmla="*/ 981370 w 1254402"/>
              <a:gd name="connsiteY199" fmla="*/ 19318 h 91439"/>
              <a:gd name="connsiteX200" fmla="*/ 994893 w 1254402"/>
              <a:gd name="connsiteY200" fmla="*/ 19318 h 91439"/>
              <a:gd name="connsiteX201" fmla="*/ 994893 w 1254402"/>
              <a:gd name="connsiteY201" fmla="*/ 15455 h 91439"/>
              <a:gd name="connsiteX202" fmla="*/ 1016143 w 1254402"/>
              <a:gd name="connsiteY202" fmla="*/ 0 h 91439"/>
              <a:gd name="connsiteX203" fmla="*/ 1031598 w 1254402"/>
              <a:gd name="connsiteY203" fmla="*/ 644 h 91439"/>
              <a:gd name="connsiteX204" fmla="*/ 1031598 w 1254402"/>
              <a:gd name="connsiteY204" fmla="*/ 10947 h 91439"/>
              <a:gd name="connsiteX205" fmla="*/ 1021295 w 1254402"/>
              <a:gd name="connsiteY205" fmla="*/ 10303 h 91439"/>
              <a:gd name="connsiteX206" fmla="*/ 1009704 w 1254402"/>
              <a:gd name="connsiteY206" fmla="*/ 19318 h 91439"/>
              <a:gd name="connsiteX207" fmla="*/ 1056712 w 1254402"/>
              <a:gd name="connsiteY207" fmla="*/ 644 h 91439"/>
              <a:gd name="connsiteX208" fmla="*/ 1056712 w 1254402"/>
              <a:gd name="connsiteY208" fmla="*/ 69546 h 91439"/>
              <a:gd name="connsiteX209" fmla="*/ 1041901 w 1254402"/>
              <a:gd name="connsiteY209" fmla="*/ 69546 h 91439"/>
              <a:gd name="connsiteX210" fmla="*/ 1041901 w 1254402"/>
              <a:gd name="connsiteY210" fmla="*/ 644 h 91439"/>
              <a:gd name="connsiteX211" fmla="*/ 1056712 w 1254402"/>
              <a:gd name="connsiteY211" fmla="*/ 644 h 91439"/>
              <a:gd name="connsiteX212" fmla="*/ 1067659 w 1254402"/>
              <a:gd name="connsiteY212" fmla="*/ 44432 h 91439"/>
              <a:gd name="connsiteX213" fmla="*/ 1103076 w 1254402"/>
              <a:gd name="connsiteY213" fmla="*/ 18030 h 91439"/>
              <a:gd name="connsiteX214" fmla="*/ 1138493 w 1254402"/>
              <a:gd name="connsiteY214" fmla="*/ 44432 h 91439"/>
              <a:gd name="connsiteX215" fmla="*/ 1103076 w 1254402"/>
              <a:gd name="connsiteY215" fmla="*/ 70834 h 91439"/>
              <a:gd name="connsiteX216" fmla="*/ 1067659 w 1254402"/>
              <a:gd name="connsiteY216" fmla="*/ 44432 h 91439"/>
              <a:gd name="connsiteX217" fmla="*/ 1123038 w 1254402"/>
              <a:gd name="connsiteY217" fmla="*/ 44432 h 91439"/>
              <a:gd name="connsiteX218" fmla="*/ 1102432 w 1254402"/>
              <a:gd name="connsiteY218" fmla="*/ 30265 h 91439"/>
              <a:gd name="connsiteX219" fmla="*/ 1081825 w 1254402"/>
              <a:gd name="connsiteY219" fmla="*/ 44432 h 91439"/>
              <a:gd name="connsiteX220" fmla="*/ 1102432 w 1254402"/>
              <a:gd name="connsiteY220" fmla="*/ 58599 h 91439"/>
              <a:gd name="connsiteX221" fmla="*/ 1123038 w 1254402"/>
              <a:gd name="connsiteY221" fmla="*/ 44432 h 91439"/>
              <a:gd name="connsiteX222" fmla="*/ 1254402 w 1254402"/>
              <a:gd name="connsiteY222" fmla="*/ 19318 h 91439"/>
              <a:gd name="connsiteX223" fmla="*/ 1231864 w 1254402"/>
              <a:gd name="connsiteY223" fmla="*/ 70190 h 91439"/>
              <a:gd name="connsiteX224" fmla="*/ 1211902 w 1254402"/>
              <a:gd name="connsiteY224" fmla="*/ 70190 h 91439"/>
              <a:gd name="connsiteX225" fmla="*/ 1197091 w 1254402"/>
              <a:gd name="connsiteY225" fmla="*/ 34773 h 91439"/>
              <a:gd name="connsiteX226" fmla="*/ 1182281 w 1254402"/>
              <a:gd name="connsiteY226" fmla="*/ 70190 h 91439"/>
              <a:gd name="connsiteX227" fmla="*/ 1162318 w 1254402"/>
              <a:gd name="connsiteY227" fmla="*/ 70190 h 91439"/>
              <a:gd name="connsiteX228" fmla="*/ 1139780 w 1254402"/>
              <a:gd name="connsiteY228" fmla="*/ 19318 h 91439"/>
              <a:gd name="connsiteX229" fmla="*/ 1156523 w 1254402"/>
              <a:gd name="connsiteY229" fmla="*/ 19318 h 91439"/>
              <a:gd name="connsiteX230" fmla="*/ 1173265 w 1254402"/>
              <a:gd name="connsiteY230" fmla="*/ 58599 h 91439"/>
              <a:gd name="connsiteX231" fmla="*/ 1188720 w 1254402"/>
              <a:gd name="connsiteY231" fmla="*/ 19318 h 91439"/>
              <a:gd name="connsiteX232" fmla="*/ 1206107 w 1254402"/>
              <a:gd name="connsiteY232" fmla="*/ 19318 h 91439"/>
              <a:gd name="connsiteX233" fmla="*/ 1221561 w 1254402"/>
              <a:gd name="connsiteY233" fmla="*/ 57955 h 91439"/>
              <a:gd name="connsiteX234" fmla="*/ 1238304 w 1254402"/>
              <a:gd name="connsiteY234" fmla="*/ 18674 h 91439"/>
              <a:gd name="connsiteX235" fmla="*/ 1254402 w 1254402"/>
              <a:gd name="connsiteY235" fmla="*/ 18674 h 914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</a:cxnLst>
            <a:rect l="l" t="t" r="r" b="b"/>
            <a:pathLst>
              <a:path w="1254402" h="91439">
                <a:moveTo>
                  <a:pt x="70834" y="31553"/>
                </a:moveTo>
                <a:cubicBezTo>
                  <a:pt x="70834" y="45076"/>
                  <a:pt x="61175" y="53447"/>
                  <a:pt x="47652" y="53447"/>
                </a:cubicBezTo>
                <a:lnTo>
                  <a:pt x="15455" y="53447"/>
                </a:lnTo>
                <a:lnTo>
                  <a:pt x="15455" y="69546"/>
                </a:lnTo>
                <a:lnTo>
                  <a:pt x="0" y="69546"/>
                </a:lnTo>
                <a:lnTo>
                  <a:pt x="0" y="9015"/>
                </a:lnTo>
                <a:lnTo>
                  <a:pt x="47652" y="9015"/>
                </a:lnTo>
                <a:cubicBezTo>
                  <a:pt x="61175" y="9659"/>
                  <a:pt x="70834" y="18030"/>
                  <a:pt x="70834" y="31553"/>
                </a:cubicBezTo>
                <a:close/>
                <a:moveTo>
                  <a:pt x="55379" y="31553"/>
                </a:moveTo>
                <a:cubicBezTo>
                  <a:pt x="55379" y="22538"/>
                  <a:pt x="48296" y="22538"/>
                  <a:pt x="43788" y="22538"/>
                </a:cubicBezTo>
                <a:lnTo>
                  <a:pt x="16099" y="22538"/>
                </a:lnTo>
                <a:lnTo>
                  <a:pt x="16099" y="40568"/>
                </a:lnTo>
                <a:lnTo>
                  <a:pt x="43144" y="40568"/>
                </a:lnTo>
                <a:cubicBezTo>
                  <a:pt x="48296" y="40568"/>
                  <a:pt x="55379" y="40568"/>
                  <a:pt x="55379" y="31553"/>
                </a:cubicBezTo>
                <a:close/>
                <a:moveTo>
                  <a:pt x="79849" y="44432"/>
                </a:moveTo>
                <a:cubicBezTo>
                  <a:pt x="79849" y="25758"/>
                  <a:pt x="94016" y="18030"/>
                  <a:pt x="115266" y="18030"/>
                </a:cubicBezTo>
                <a:cubicBezTo>
                  <a:pt x="136516" y="18030"/>
                  <a:pt x="150683" y="25758"/>
                  <a:pt x="150683" y="44432"/>
                </a:cubicBezTo>
                <a:cubicBezTo>
                  <a:pt x="150683" y="63106"/>
                  <a:pt x="136516" y="70834"/>
                  <a:pt x="115266" y="70834"/>
                </a:cubicBezTo>
                <a:cubicBezTo>
                  <a:pt x="94016" y="70834"/>
                  <a:pt x="79849" y="63106"/>
                  <a:pt x="79849" y="44432"/>
                </a:cubicBezTo>
                <a:close/>
                <a:moveTo>
                  <a:pt x="135228" y="44432"/>
                </a:moveTo>
                <a:cubicBezTo>
                  <a:pt x="135228" y="34129"/>
                  <a:pt x="128789" y="30265"/>
                  <a:pt x="114622" y="30265"/>
                </a:cubicBezTo>
                <a:cubicBezTo>
                  <a:pt x="101099" y="30265"/>
                  <a:pt x="94016" y="33485"/>
                  <a:pt x="94016" y="44432"/>
                </a:cubicBezTo>
                <a:cubicBezTo>
                  <a:pt x="94016" y="54735"/>
                  <a:pt x="100455" y="58599"/>
                  <a:pt x="114622" y="58599"/>
                </a:cubicBezTo>
                <a:cubicBezTo>
                  <a:pt x="128789" y="58599"/>
                  <a:pt x="135228" y="54735"/>
                  <a:pt x="135228" y="44432"/>
                </a:cubicBezTo>
                <a:close/>
                <a:moveTo>
                  <a:pt x="173221" y="52159"/>
                </a:moveTo>
                <a:cubicBezTo>
                  <a:pt x="173221" y="57311"/>
                  <a:pt x="179016" y="59887"/>
                  <a:pt x="195115" y="59887"/>
                </a:cubicBezTo>
                <a:cubicBezTo>
                  <a:pt x="211214" y="59887"/>
                  <a:pt x="213789" y="58599"/>
                  <a:pt x="213789" y="54735"/>
                </a:cubicBezTo>
                <a:cubicBezTo>
                  <a:pt x="213789" y="50872"/>
                  <a:pt x="211214" y="50872"/>
                  <a:pt x="193827" y="49584"/>
                </a:cubicBezTo>
                <a:cubicBezTo>
                  <a:pt x="171289" y="48296"/>
                  <a:pt x="160342" y="46364"/>
                  <a:pt x="160342" y="34129"/>
                </a:cubicBezTo>
                <a:cubicBezTo>
                  <a:pt x="160342" y="20606"/>
                  <a:pt x="175797" y="18674"/>
                  <a:pt x="193827" y="18674"/>
                </a:cubicBezTo>
                <a:cubicBezTo>
                  <a:pt x="213145" y="18674"/>
                  <a:pt x="226668" y="21250"/>
                  <a:pt x="226668" y="35417"/>
                </a:cubicBezTo>
                <a:lnTo>
                  <a:pt x="211857" y="35417"/>
                </a:lnTo>
                <a:cubicBezTo>
                  <a:pt x="211857" y="30909"/>
                  <a:pt x="206706" y="30265"/>
                  <a:pt x="192539" y="30265"/>
                </a:cubicBezTo>
                <a:cubicBezTo>
                  <a:pt x="178372" y="30265"/>
                  <a:pt x="174509" y="31553"/>
                  <a:pt x="174509" y="34129"/>
                </a:cubicBezTo>
                <a:cubicBezTo>
                  <a:pt x="174509" y="37349"/>
                  <a:pt x="177085" y="37993"/>
                  <a:pt x="194471" y="39281"/>
                </a:cubicBezTo>
                <a:cubicBezTo>
                  <a:pt x="214433" y="40568"/>
                  <a:pt x="227956" y="41212"/>
                  <a:pt x="227956" y="54735"/>
                </a:cubicBezTo>
                <a:cubicBezTo>
                  <a:pt x="227956" y="68902"/>
                  <a:pt x="215077" y="71478"/>
                  <a:pt x="195759" y="71478"/>
                </a:cubicBezTo>
                <a:cubicBezTo>
                  <a:pt x="176441" y="71478"/>
                  <a:pt x="158410" y="68902"/>
                  <a:pt x="158410" y="52803"/>
                </a:cubicBezTo>
                <a:lnTo>
                  <a:pt x="173221" y="52803"/>
                </a:lnTo>
                <a:close/>
                <a:moveTo>
                  <a:pt x="254358" y="644"/>
                </a:moveTo>
                <a:lnTo>
                  <a:pt x="254358" y="13523"/>
                </a:lnTo>
                <a:lnTo>
                  <a:pt x="239547" y="13523"/>
                </a:lnTo>
                <a:lnTo>
                  <a:pt x="239547" y="644"/>
                </a:lnTo>
                <a:lnTo>
                  <a:pt x="254358" y="644"/>
                </a:lnTo>
                <a:close/>
                <a:moveTo>
                  <a:pt x="254358" y="19318"/>
                </a:moveTo>
                <a:lnTo>
                  <a:pt x="254358" y="70190"/>
                </a:lnTo>
                <a:lnTo>
                  <a:pt x="239547" y="70190"/>
                </a:lnTo>
                <a:lnTo>
                  <a:pt x="239547" y="19318"/>
                </a:lnTo>
                <a:lnTo>
                  <a:pt x="254358" y="19318"/>
                </a:lnTo>
                <a:close/>
                <a:moveTo>
                  <a:pt x="292994" y="31553"/>
                </a:moveTo>
                <a:lnTo>
                  <a:pt x="292994" y="46364"/>
                </a:lnTo>
                <a:cubicBezTo>
                  <a:pt x="292994" y="56023"/>
                  <a:pt x="294926" y="58599"/>
                  <a:pt x="303941" y="58599"/>
                </a:cubicBezTo>
                <a:cubicBezTo>
                  <a:pt x="308449" y="58599"/>
                  <a:pt x="311025" y="58599"/>
                  <a:pt x="316820" y="57955"/>
                </a:cubicBezTo>
                <a:lnTo>
                  <a:pt x="316820" y="69546"/>
                </a:lnTo>
                <a:cubicBezTo>
                  <a:pt x="311669" y="70190"/>
                  <a:pt x="306517" y="70834"/>
                  <a:pt x="299434" y="70834"/>
                </a:cubicBezTo>
                <a:cubicBezTo>
                  <a:pt x="286555" y="70834"/>
                  <a:pt x="278184" y="65682"/>
                  <a:pt x="278184" y="54735"/>
                </a:cubicBezTo>
                <a:lnTo>
                  <a:pt x="278184" y="31553"/>
                </a:lnTo>
                <a:lnTo>
                  <a:pt x="264661" y="31553"/>
                </a:lnTo>
                <a:lnTo>
                  <a:pt x="264661" y="19318"/>
                </a:lnTo>
                <a:lnTo>
                  <a:pt x="278184" y="19318"/>
                </a:lnTo>
                <a:lnTo>
                  <a:pt x="278184" y="9015"/>
                </a:lnTo>
                <a:lnTo>
                  <a:pt x="292994" y="4508"/>
                </a:lnTo>
                <a:lnTo>
                  <a:pt x="292994" y="19318"/>
                </a:lnTo>
                <a:lnTo>
                  <a:pt x="316820" y="19318"/>
                </a:lnTo>
                <a:lnTo>
                  <a:pt x="316820" y="31553"/>
                </a:lnTo>
                <a:lnTo>
                  <a:pt x="292994" y="31553"/>
                </a:lnTo>
                <a:close/>
                <a:moveTo>
                  <a:pt x="342578" y="644"/>
                </a:moveTo>
                <a:lnTo>
                  <a:pt x="342578" y="13523"/>
                </a:lnTo>
                <a:lnTo>
                  <a:pt x="327767" y="13523"/>
                </a:lnTo>
                <a:lnTo>
                  <a:pt x="327767" y="644"/>
                </a:lnTo>
                <a:lnTo>
                  <a:pt x="342578" y="644"/>
                </a:lnTo>
                <a:close/>
                <a:moveTo>
                  <a:pt x="342578" y="19318"/>
                </a:moveTo>
                <a:lnTo>
                  <a:pt x="342578" y="70190"/>
                </a:lnTo>
                <a:lnTo>
                  <a:pt x="327767" y="70190"/>
                </a:lnTo>
                <a:lnTo>
                  <a:pt x="327767" y="19318"/>
                </a:lnTo>
                <a:lnTo>
                  <a:pt x="342578" y="19318"/>
                </a:lnTo>
                <a:close/>
                <a:moveTo>
                  <a:pt x="424359" y="19318"/>
                </a:moveTo>
                <a:lnTo>
                  <a:pt x="398601" y="70190"/>
                </a:lnTo>
                <a:lnTo>
                  <a:pt x="377995" y="70190"/>
                </a:lnTo>
                <a:lnTo>
                  <a:pt x="352237" y="19318"/>
                </a:lnTo>
                <a:lnTo>
                  <a:pt x="368336" y="19318"/>
                </a:lnTo>
                <a:lnTo>
                  <a:pt x="388298" y="59887"/>
                </a:lnTo>
                <a:lnTo>
                  <a:pt x="408260" y="19318"/>
                </a:lnTo>
                <a:lnTo>
                  <a:pt x="424359" y="19318"/>
                </a:lnTo>
                <a:close/>
                <a:moveTo>
                  <a:pt x="481670" y="51515"/>
                </a:moveTo>
                <a:lnTo>
                  <a:pt x="496481" y="51515"/>
                </a:lnTo>
                <a:cubicBezTo>
                  <a:pt x="493261" y="64394"/>
                  <a:pt x="480382" y="70834"/>
                  <a:pt x="461708" y="70834"/>
                </a:cubicBezTo>
                <a:cubicBezTo>
                  <a:pt x="442389" y="70834"/>
                  <a:pt x="427579" y="63106"/>
                  <a:pt x="427579" y="44432"/>
                </a:cubicBezTo>
                <a:cubicBezTo>
                  <a:pt x="427579" y="25758"/>
                  <a:pt x="442389" y="18030"/>
                  <a:pt x="462995" y="18030"/>
                </a:cubicBezTo>
                <a:cubicBezTo>
                  <a:pt x="482314" y="18030"/>
                  <a:pt x="497768" y="24470"/>
                  <a:pt x="497768" y="47652"/>
                </a:cubicBezTo>
                <a:lnTo>
                  <a:pt x="442389" y="47652"/>
                </a:lnTo>
                <a:cubicBezTo>
                  <a:pt x="444321" y="56023"/>
                  <a:pt x="452048" y="58599"/>
                  <a:pt x="461708" y="58599"/>
                </a:cubicBezTo>
                <a:cubicBezTo>
                  <a:pt x="471367" y="58599"/>
                  <a:pt x="477806" y="56667"/>
                  <a:pt x="481670" y="51515"/>
                </a:cubicBezTo>
                <a:close/>
                <a:moveTo>
                  <a:pt x="442389" y="38637"/>
                </a:moveTo>
                <a:lnTo>
                  <a:pt x="481026" y="38637"/>
                </a:lnTo>
                <a:cubicBezTo>
                  <a:pt x="478450" y="31553"/>
                  <a:pt x="471367" y="29621"/>
                  <a:pt x="461708" y="29621"/>
                </a:cubicBezTo>
                <a:cubicBezTo>
                  <a:pt x="452048" y="29621"/>
                  <a:pt x="444965" y="31553"/>
                  <a:pt x="442389" y="38637"/>
                </a:cubicBezTo>
                <a:close/>
                <a:moveTo>
                  <a:pt x="622694" y="644"/>
                </a:moveTo>
                <a:lnTo>
                  <a:pt x="622694" y="69546"/>
                </a:lnTo>
                <a:lnTo>
                  <a:pt x="607883" y="69546"/>
                </a:lnTo>
                <a:lnTo>
                  <a:pt x="607883" y="61819"/>
                </a:lnTo>
                <a:cubicBezTo>
                  <a:pt x="602087" y="67614"/>
                  <a:pt x="593716" y="70834"/>
                  <a:pt x="582769" y="70834"/>
                </a:cubicBezTo>
                <a:cubicBezTo>
                  <a:pt x="566670" y="70834"/>
                  <a:pt x="552504" y="63750"/>
                  <a:pt x="552504" y="44432"/>
                </a:cubicBezTo>
                <a:cubicBezTo>
                  <a:pt x="552504" y="25114"/>
                  <a:pt x="566670" y="18030"/>
                  <a:pt x="582769" y="18030"/>
                </a:cubicBezTo>
                <a:cubicBezTo>
                  <a:pt x="593716" y="18030"/>
                  <a:pt x="602731" y="21250"/>
                  <a:pt x="607883" y="27046"/>
                </a:cubicBezTo>
                <a:lnTo>
                  <a:pt x="607883" y="644"/>
                </a:lnTo>
                <a:lnTo>
                  <a:pt x="622694" y="644"/>
                </a:lnTo>
                <a:close/>
                <a:moveTo>
                  <a:pt x="607883" y="44432"/>
                </a:moveTo>
                <a:cubicBezTo>
                  <a:pt x="607883" y="34129"/>
                  <a:pt x="600800" y="30265"/>
                  <a:pt x="587277" y="30265"/>
                </a:cubicBezTo>
                <a:cubicBezTo>
                  <a:pt x="574398" y="30265"/>
                  <a:pt x="566670" y="34129"/>
                  <a:pt x="566670" y="44432"/>
                </a:cubicBezTo>
                <a:cubicBezTo>
                  <a:pt x="566670" y="54735"/>
                  <a:pt x="573754" y="58599"/>
                  <a:pt x="587277" y="58599"/>
                </a:cubicBezTo>
                <a:cubicBezTo>
                  <a:pt x="600800" y="58599"/>
                  <a:pt x="607883" y="54735"/>
                  <a:pt x="607883" y="44432"/>
                </a:cubicBezTo>
                <a:close/>
                <a:moveTo>
                  <a:pt x="649739" y="644"/>
                </a:moveTo>
                <a:lnTo>
                  <a:pt x="649739" y="13523"/>
                </a:lnTo>
                <a:lnTo>
                  <a:pt x="634928" y="13523"/>
                </a:lnTo>
                <a:lnTo>
                  <a:pt x="634928" y="644"/>
                </a:lnTo>
                <a:lnTo>
                  <a:pt x="649739" y="644"/>
                </a:lnTo>
                <a:close/>
                <a:moveTo>
                  <a:pt x="649739" y="19318"/>
                </a:moveTo>
                <a:lnTo>
                  <a:pt x="649739" y="70190"/>
                </a:lnTo>
                <a:lnTo>
                  <a:pt x="634928" y="70190"/>
                </a:lnTo>
                <a:lnTo>
                  <a:pt x="634928" y="19318"/>
                </a:lnTo>
                <a:lnTo>
                  <a:pt x="649739" y="19318"/>
                </a:lnTo>
                <a:close/>
                <a:moveTo>
                  <a:pt x="730876" y="19318"/>
                </a:moveTo>
                <a:lnTo>
                  <a:pt x="730876" y="61819"/>
                </a:lnTo>
                <a:cubicBezTo>
                  <a:pt x="730876" y="82425"/>
                  <a:pt x="716709" y="91440"/>
                  <a:pt x="698035" y="91440"/>
                </a:cubicBezTo>
                <a:cubicBezTo>
                  <a:pt x="683224" y="91440"/>
                  <a:pt x="670989" y="88864"/>
                  <a:pt x="666482" y="87576"/>
                </a:cubicBezTo>
                <a:lnTo>
                  <a:pt x="666482" y="75985"/>
                </a:lnTo>
                <a:cubicBezTo>
                  <a:pt x="672277" y="77273"/>
                  <a:pt x="683868" y="79849"/>
                  <a:pt x="694815" y="79849"/>
                </a:cubicBezTo>
                <a:cubicBezTo>
                  <a:pt x="710270" y="79849"/>
                  <a:pt x="716065" y="74053"/>
                  <a:pt x="716065" y="61175"/>
                </a:cubicBezTo>
                <a:cubicBezTo>
                  <a:pt x="710914" y="66970"/>
                  <a:pt x="702543" y="70190"/>
                  <a:pt x="690308" y="70190"/>
                </a:cubicBezTo>
                <a:cubicBezTo>
                  <a:pt x="672921" y="70190"/>
                  <a:pt x="660686" y="62463"/>
                  <a:pt x="660686" y="44432"/>
                </a:cubicBezTo>
                <a:cubicBezTo>
                  <a:pt x="660686" y="26402"/>
                  <a:pt x="672921" y="18674"/>
                  <a:pt x="690308" y="18674"/>
                </a:cubicBezTo>
                <a:cubicBezTo>
                  <a:pt x="702543" y="18674"/>
                  <a:pt x="710914" y="21894"/>
                  <a:pt x="716065" y="27690"/>
                </a:cubicBezTo>
                <a:lnTo>
                  <a:pt x="716065" y="19318"/>
                </a:lnTo>
                <a:lnTo>
                  <a:pt x="730876" y="19318"/>
                </a:lnTo>
                <a:close/>
                <a:moveTo>
                  <a:pt x="715421" y="43788"/>
                </a:moveTo>
                <a:cubicBezTo>
                  <a:pt x="715421" y="34773"/>
                  <a:pt x="708982" y="30909"/>
                  <a:pt x="694815" y="30909"/>
                </a:cubicBezTo>
                <a:cubicBezTo>
                  <a:pt x="680648" y="30909"/>
                  <a:pt x="674209" y="34773"/>
                  <a:pt x="674209" y="43788"/>
                </a:cubicBezTo>
                <a:cubicBezTo>
                  <a:pt x="674209" y="52803"/>
                  <a:pt x="680648" y="56667"/>
                  <a:pt x="694815" y="56667"/>
                </a:cubicBezTo>
                <a:cubicBezTo>
                  <a:pt x="708982" y="56667"/>
                  <a:pt x="715421" y="52803"/>
                  <a:pt x="715421" y="43788"/>
                </a:cubicBezTo>
                <a:close/>
                <a:moveTo>
                  <a:pt x="757278" y="644"/>
                </a:moveTo>
                <a:lnTo>
                  <a:pt x="757278" y="13523"/>
                </a:lnTo>
                <a:lnTo>
                  <a:pt x="742467" y="13523"/>
                </a:lnTo>
                <a:lnTo>
                  <a:pt x="742467" y="644"/>
                </a:lnTo>
                <a:lnTo>
                  <a:pt x="757278" y="644"/>
                </a:lnTo>
                <a:close/>
                <a:moveTo>
                  <a:pt x="757278" y="19318"/>
                </a:moveTo>
                <a:lnTo>
                  <a:pt x="757278" y="70190"/>
                </a:lnTo>
                <a:lnTo>
                  <a:pt x="742467" y="70190"/>
                </a:lnTo>
                <a:lnTo>
                  <a:pt x="742467" y="19318"/>
                </a:lnTo>
                <a:lnTo>
                  <a:pt x="757278" y="19318"/>
                </a:lnTo>
                <a:close/>
                <a:moveTo>
                  <a:pt x="795914" y="31553"/>
                </a:moveTo>
                <a:lnTo>
                  <a:pt x="795914" y="46364"/>
                </a:lnTo>
                <a:cubicBezTo>
                  <a:pt x="795914" y="56023"/>
                  <a:pt x="797846" y="58599"/>
                  <a:pt x="806861" y="58599"/>
                </a:cubicBezTo>
                <a:cubicBezTo>
                  <a:pt x="811369" y="58599"/>
                  <a:pt x="813945" y="58599"/>
                  <a:pt x="819740" y="57955"/>
                </a:cubicBezTo>
                <a:lnTo>
                  <a:pt x="819740" y="69546"/>
                </a:lnTo>
                <a:cubicBezTo>
                  <a:pt x="814589" y="70190"/>
                  <a:pt x="809437" y="70834"/>
                  <a:pt x="802354" y="70834"/>
                </a:cubicBezTo>
                <a:cubicBezTo>
                  <a:pt x="789475" y="70834"/>
                  <a:pt x="781104" y="65682"/>
                  <a:pt x="781104" y="54735"/>
                </a:cubicBezTo>
                <a:lnTo>
                  <a:pt x="781104" y="31553"/>
                </a:lnTo>
                <a:lnTo>
                  <a:pt x="767581" y="31553"/>
                </a:lnTo>
                <a:lnTo>
                  <a:pt x="767581" y="19318"/>
                </a:lnTo>
                <a:lnTo>
                  <a:pt x="781104" y="19318"/>
                </a:lnTo>
                <a:lnTo>
                  <a:pt x="781104" y="9015"/>
                </a:lnTo>
                <a:lnTo>
                  <a:pt x="795914" y="4508"/>
                </a:lnTo>
                <a:lnTo>
                  <a:pt x="795914" y="19318"/>
                </a:lnTo>
                <a:lnTo>
                  <a:pt x="819740" y="19318"/>
                </a:lnTo>
                <a:lnTo>
                  <a:pt x="819740" y="31553"/>
                </a:lnTo>
                <a:lnTo>
                  <a:pt x="795914" y="31553"/>
                </a:lnTo>
                <a:close/>
                <a:moveTo>
                  <a:pt x="898301" y="44432"/>
                </a:moveTo>
                <a:lnTo>
                  <a:pt x="898301" y="70190"/>
                </a:lnTo>
                <a:lnTo>
                  <a:pt x="883491" y="70190"/>
                </a:lnTo>
                <a:lnTo>
                  <a:pt x="883491" y="63750"/>
                </a:lnTo>
                <a:cubicBezTo>
                  <a:pt x="874476" y="68258"/>
                  <a:pt x="864816" y="70834"/>
                  <a:pt x="852581" y="70834"/>
                </a:cubicBezTo>
                <a:cubicBezTo>
                  <a:pt x="838415" y="70834"/>
                  <a:pt x="829400" y="66326"/>
                  <a:pt x="829400" y="54735"/>
                </a:cubicBezTo>
                <a:cubicBezTo>
                  <a:pt x="829400" y="41856"/>
                  <a:pt x="843566" y="37349"/>
                  <a:pt x="860309" y="37349"/>
                </a:cubicBezTo>
                <a:cubicBezTo>
                  <a:pt x="869324" y="37349"/>
                  <a:pt x="877051" y="38637"/>
                  <a:pt x="883491" y="41212"/>
                </a:cubicBezTo>
                <a:cubicBezTo>
                  <a:pt x="883491" y="31553"/>
                  <a:pt x="871256" y="30909"/>
                  <a:pt x="864172" y="30909"/>
                </a:cubicBezTo>
                <a:cubicBezTo>
                  <a:pt x="857733" y="30909"/>
                  <a:pt x="849362" y="31553"/>
                  <a:pt x="839059" y="34773"/>
                </a:cubicBezTo>
                <a:lnTo>
                  <a:pt x="833907" y="23826"/>
                </a:lnTo>
                <a:cubicBezTo>
                  <a:pt x="844210" y="20606"/>
                  <a:pt x="854513" y="18674"/>
                  <a:pt x="864816" y="18674"/>
                </a:cubicBezTo>
                <a:cubicBezTo>
                  <a:pt x="886066" y="18030"/>
                  <a:pt x="898301" y="25114"/>
                  <a:pt x="898301" y="44432"/>
                </a:cubicBezTo>
                <a:close/>
                <a:moveTo>
                  <a:pt x="883491" y="50228"/>
                </a:moveTo>
                <a:cubicBezTo>
                  <a:pt x="878339" y="48296"/>
                  <a:pt x="871256" y="47008"/>
                  <a:pt x="862241" y="47008"/>
                </a:cubicBezTo>
                <a:cubicBezTo>
                  <a:pt x="851294" y="47008"/>
                  <a:pt x="844854" y="48940"/>
                  <a:pt x="844854" y="54091"/>
                </a:cubicBezTo>
                <a:cubicBezTo>
                  <a:pt x="844854" y="59243"/>
                  <a:pt x="850006" y="59887"/>
                  <a:pt x="857733" y="59887"/>
                </a:cubicBezTo>
                <a:cubicBezTo>
                  <a:pt x="865460" y="59887"/>
                  <a:pt x="877051" y="57311"/>
                  <a:pt x="884135" y="54091"/>
                </a:cubicBezTo>
                <a:lnTo>
                  <a:pt x="884135" y="50228"/>
                </a:lnTo>
                <a:close/>
                <a:moveTo>
                  <a:pt x="925347" y="644"/>
                </a:moveTo>
                <a:lnTo>
                  <a:pt x="925347" y="69546"/>
                </a:lnTo>
                <a:lnTo>
                  <a:pt x="910536" y="69546"/>
                </a:lnTo>
                <a:lnTo>
                  <a:pt x="910536" y="644"/>
                </a:lnTo>
                <a:lnTo>
                  <a:pt x="925347" y="644"/>
                </a:lnTo>
                <a:close/>
                <a:moveTo>
                  <a:pt x="1009704" y="19318"/>
                </a:moveTo>
                <a:lnTo>
                  <a:pt x="1030954" y="19318"/>
                </a:lnTo>
                <a:lnTo>
                  <a:pt x="1030954" y="31553"/>
                </a:lnTo>
                <a:lnTo>
                  <a:pt x="1009704" y="31553"/>
                </a:lnTo>
                <a:lnTo>
                  <a:pt x="1009704" y="70190"/>
                </a:lnTo>
                <a:lnTo>
                  <a:pt x="994893" y="70190"/>
                </a:lnTo>
                <a:lnTo>
                  <a:pt x="994893" y="31553"/>
                </a:lnTo>
                <a:lnTo>
                  <a:pt x="981370" y="31553"/>
                </a:lnTo>
                <a:lnTo>
                  <a:pt x="981370" y="19318"/>
                </a:lnTo>
                <a:lnTo>
                  <a:pt x="994893" y="19318"/>
                </a:lnTo>
                <a:lnTo>
                  <a:pt x="994893" y="15455"/>
                </a:lnTo>
                <a:cubicBezTo>
                  <a:pt x="994893" y="5152"/>
                  <a:pt x="1001332" y="0"/>
                  <a:pt x="1016143" y="0"/>
                </a:cubicBezTo>
                <a:cubicBezTo>
                  <a:pt x="1021295" y="0"/>
                  <a:pt x="1023870" y="0"/>
                  <a:pt x="1031598" y="644"/>
                </a:cubicBezTo>
                <a:lnTo>
                  <a:pt x="1031598" y="10947"/>
                </a:lnTo>
                <a:cubicBezTo>
                  <a:pt x="1028378" y="10947"/>
                  <a:pt x="1024514" y="10303"/>
                  <a:pt x="1021295" y="10303"/>
                </a:cubicBezTo>
                <a:cubicBezTo>
                  <a:pt x="1012279" y="10947"/>
                  <a:pt x="1009704" y="12879"/>
                  <a:pt x="1009704" y="19318"/>
                </a:cubicBezTo>
                <a:close/>
                <a:moveTo>
                  <a:pt x="1056712" y="644"/>
                </a:moveTo>
                <a:lnTo>
                  <a:pt x="1056712" y="69546"/>
                </a:lnTo>
                <a:lnTo>
                  <a:pt x="1041901" y="69546"/>
                </a:lnTo>
                <a:lnTo>
                  <a:pt x="1041901" y="644"/>
                </a:lnTo>
                <a:lnTo>
                  <a:pt x="1056712" y="644"/>
                </a:lnTo>
                <a:close/>
                <a:moveTo>
                  <a:pt x="1067659" y="44432"/>
                </a:moveTo>
                <a:cubicBezTo>
                  <a:pt x="1067659" y="25758"/>
                  <a:pt x="1081825" y="18030"/>
                  <a:pt x="1103076" y="18030"/>
                </a:cubicBezTo>
                <a:cubicBezTo>
                  <a:pt x="1124326" y="18030"/>
                  <a:pt x="1138493" y="25758"/>
                  <a:pt x="1138493" y="44432"/>
                </a:cubicBezTo>
                <a:cubicBezTo>
                  <a:pt x="1138493" y="63106"/>
                  <a:pt x="1124326" y="70834"/>
                  <a:pt x="1103076" y="70834"/>
                </a:cubicBezTo>
                <a:cubicBezTo>
                  <a:pt x="1081825" y="70834"/>
                  <a:pt x="1067659" y="63106"/>
                  <a:pt x="1067659" y="44432"/>
                </a:cubicBezTo>
                <a:close/>
                <a:moveTo>
                  <a:pt x="1123038" y="44432"/>
                </a:moveTo>
                <a:cubicBezTo>
                  <a:pt x="1123038" y="34129"/>
                  <a:pt x="1116598" y="30265"/>
                  <a:pt x="1102432" y="30265"/>
                </a:cubicBezTo>
                <a:cubicBezTo>
                  <a:pt x="1088909" y="30265"/>
                  <a:pt x="1081825" y="33485"/>
                  <a:pt x="1081825" y="44432"/>
                </a:cubicBezTo>
                <a:cubicBezTo>
                  <a:pt x="1081825" y="54735"/>
                  <a:pt x="1088265" y="58599"/>
                  <a:pt x="1102432" y="58599"/>
                </a:cubicBezTo>
                <a:cubicBezTo>
                  <a:pt x="1115954" y="58599"/>
                  <a:pt x="1123038" y="54735"/>
                  <a:pt x="1123038" y="44432"/>
                </a:cubicBezTo>
                <a:close/>
                <a:moveTo>
                  <a:pt x="1254402" y="19318"/>
                </a:moveTo>
                <a:lnTo>
                  <a:pt x="1231864" y="70190"/>
                </a:lnTo>
                <a:lnTo>
                  <a:pt x="1211902" y="70190"/>
                </a:lnTo>
                <a:lnTo>
                  <a:pt x="1197091" y="34773"/>
                </a:lnTo>
                <a:lnTo>
                  <a:pt x="1182281" y="70190"/>
                </a:lnTo>
                <a:lnTo>
                  <a:pt x="1162318" y="70190"/>
                </a:lnTo>
                <a:lnTo>
                  <a:pt x="1139780" y="19318"/>
                </a:lnTo>
                <a:lnTo>
                  <a:pt x="1156523" y="19318"/>
                </a:lnTo>
                <a:lnTo>
                  <a:pt x="1173265" y="58599"/>
                </a:lnTo>
                <a:lnTo>
                  <a:pt x="1188720" y="19318"/>
                </a:lnTo>
                <a:lnTo>
                  <a:pt x="1206107" y="19318"/>
                </a:lnTo>
                <a:lnTo>
                  <a:pt x="1221561" y="57955"/>
                </a:lnTo>
                <a:lnTo>
                  <a:pt x="1238304" y="18674"/>
                </a:lnTo>
                <a:lnTo>
                  <a:pt x="1254402" y="18674"/>
                </a:lnTo>
                <a:close/>
              </a:path>
            </a:pathLst>
          </a:custGeom>
          <a:solidFill>
            <a:srgbClr val="00AA9B"/>
          </a:solidFill>
          <a:ln w="6439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grpSp>
        <xdr:nvGrpSpPr>
          <xdr:cNvPr id="24" name="Graphique 9">
            <a:extLst>
              <a:ext uri="{FF2B5EF4-FFF2-40B4-BE49-F238E27FC236}">
                <a16:creationId xmlns:a16="http://schemas.microsoft.com/office/drawing/2014/main" id="{A88EEF04-D310-4955-914E-8A61EB49E114}"/>
              </a:ext>
            </a:extLst>
          </xdr:cNvPr>
          <xdr:cNvGrpSpPr/>
        </xdr:nvGrpSpPr>
        <xdr:grpSpPr>
          <a:xfrm>
            <a:off x="13512800" y="647260"/>
            <a:ext cx="1824935" cy="273031"/>
            <a:chOff x="13512800" y="647260"/>
            <a:chExt cx="1824935" cy="273031"/>
          </a:xfrm>
        </xdr:grpSpPr>
        <xdr:sp macro="" textlink="">
          <xdr:nvSpPr>
            <xdr:cNvPr id="25" name="Forme libre : forme 19">
              <a:extLst>
                <a:ext uri="{FF2B5EF4-FFF2-40B4-BE49-F238E27FC236}">
                  <a16:creationId xmlns:a16="http://schemas.microsoft.com/office/drawing/2014/main" id="{E69C65D3-9AE0-4897-A355-C79D56A0D68E}"/>
                </a:ext>
              </a:extLst>
            </xdr:cNvPr>
            <xdr:cNvSpPr/>
          </xdr:nvSpPr>
          <xdr:spPr>
            <a:xfrm>
              <a:off x="13512800" y="647260"/>
              <a:ext cx="1533229" cy="273031"/>
            </a:xfrm>
            <a:custGeom>
              <a:avLst/>
              <a:gdLst>
                <a:gd name="connsiteX0" fmla="*/ 358677 w 1533229"/>
                <a:gd name="connsiteY0" fmla="*/ 169357 h 273031"/>
                <a:gd name="connsiteX1" fmla="*/ 358677 w 1533229"/>
                <a:gd name="connsiteY1" fmla="*/ 269168 h 273031"/>
                <a:gd name="connsiteX2" fmla="*/ 285267 w 1533229"/>
                <a:gd name="connsiteY2" fmla="*/ 269168 h 273031"/>
                <a:gd name="connsiteX3" fmla="*/ 285267 w 1533229"/>
                <a:gd name="connsiteY3" fmla="*/ 198978 h 273031"/>
                <a:gd name="connsiteX4" fmla="*/ 242123 w 1533229"/>
                <a:gd name="connsiteY4" fmla="*/ 154546 h 273031"/>
                <a:gd name="connsiteX5" fmla="*/ 183524 w 1533229"/>
                <a:gd name="connsiteY5" fmla="*/ 177728 h 273031"/>
                <a:gd name="connsiteX6" fmla="*/ 183524 w 1533229"/>
                <a:gd name="connsiteY6" fmla="*/ 269812 h 273031"/>
                <a:gd name="connsiteX7" fmla="*/ 110758 w 1533229"/>
                <a:gd name="connsiteY7" fmla="*/ 269812 h 273031"/>
                <a:gd name="connsiteX8" fmla="*/ 110758 w 1533229"/>
                <a:gd name="connsiteY8" fmla="*/ 92084 h 273031"/>
                <a:gd name="connsiteX9" fmla="*/ 183524 w 1533229"/>
                <a:gd name="connsiteY9" fmla="*/ 92084 h 273031"/>
                <a:gd name="connsiteX10" fmla="*/ 183524 w 1533229"/>
                <a:gd name="connsiteY10" fmla="*/ 117842 h 273031"/>
                <a:gd name="connsiteX11" fmla="*/ 271744 w 1533229"/>
                <a:gd name="connsiteY11" fmla="*/ 90152 h 273031"/>
                <a:gd name="connsiteX12" fmla="*/ 358677 w 1533229"/>
                <a:gd name="connsiteY12" fmla="*/ 169357 h 273031"/>
                <a:gd name="connsiteX13" fmla="*/ 765005 w 1533229"/>
                <a:gd name="connsiteY13" fmla="*/ 36705 h 273031"/>
                <a:gd name="connsiteX14" fmla="*/ 692239 w 1533229"/>
                <a:gd name="connsiteY14" fmla="*/ 36705 h 273031"/>
                <a:gd name="connsiteX15" fmla="*/ 692239 w 1533229"/>
                <a:gd name="connsiteY15" fmla="*/ 92084 h 273031"/>
                <a:gd name="connsiteX16" fmla="*/ 652959 w 1533229"/>
                <a:gd name="connsiteY16" fmla="*/ 92084 h 273031"/>
                <a:gd name="connsiteX17" fmla="*/ 652959 w 1533229"/>
                <a:gd name="connsiteY17" fmla="*/ 151327 h 273031"/>
                <a:gd name="connsiteX18" fmla="*/ 692239 w 1533229"/>
                <a:gd name="connsiteY18" fmla="*/ 151327 h 273031"/>
                <a:gd name="connsiteX19" fmla="*/ 692239 w 1533229"/>
                <a:gd name="connsiteY19" fmla="*/ 269168 h 273031"/>
                <a:gd name="connsiteX20" fmla="*/ 838415 w 1533229"/>
                <a:gd name="connsiteY20" fmla="*/ 269168 h 273031"/>
                <a:gd name="connsiteX21" fmla="*/ 838415 w 1533229"/>
                <a:gd name="connsiteY21" fmla="*/ 209926 h 273031"/>
                <a:gd name="connsiteX22" fmla="*/ 765649 w 1533229"/>
                <a:gd name="connsiteY22" fmla="*/ 209926 h 273031"/>
                <a:gd name="connsiteX23" fmla="*/ 765649 w 1533229"/>
                <a:gd name="connsiteY23" fmla="*/ 151327 h 273031"/>
                <a:gd name="connsiteX24" fmla="*/ 838415 w 1533229"/>
                <a:gd name="connsiteY24" fmla="*/ 151327 h 273031"/>
                <a:gd name="connsiteX25" fmla="*/ 838415 w 1533229"/>
                <a:gd name="connsiteY25" fmla="*/ 92084 h 273031"/>
                <a:gd name="connsiteX26" fmla="*/ 765649 w 1533229"/>
                <a:gd name="connsiteY26" fmla="*/ 92084 h 273031"/>
                <a:gd name="connsiteX27" fmla="*/ 765649 w 1533229"/>
                <a:gd name="connsiteY27" fmla="*/ 36705 h 273031"/>
                <a:gd name="connsiteX28" fmla="*/ 632997 w 1533229"/>
                <a:gd name="connsiteY28" fmla="*/ 192539 h 273031"/>
                <a:gd name="connsiteX29" fmla="*/ 462352 w 1533229"/>
                <a:gd name="connsiteY29" fmla="*/ 192539 h 273031"/>
                <a:gd name="connsiteX30" fmla="*/ 508072 w 1533229"/>
                <a:gd name="connsiteY30" fmla="*/ 216365 h 273031"/>
                <a:gd name="connsiteX31" fmla="*/ 548640 w 1533229"/>
                <a:gd name="connsiteY31" fmla="*/ 209926 h 273031"/>
                <a:gd name="connsiteX32" fmla="*/ 627845 w 1533229"/>
                <a:gd name="connsiteY32" fmla="*/ 209926 h 273031"/>
                <a:gd name="connsiteX33" fmla="*/ 508072 w 1533229"/>
                <a:gd name="connsiteY33" fmla="*/ 273032 h 273031"/>
                <a:gd name="connsiteX34" fmla="*/ 388942 w 1533229"/>
                <a:gd name="connsiteY34" fmla="*/ 180304 h 273031"/>
                <a:gd name="connsiteX35" fmla="*/ 511291 w 1533229"/>
                <a:gd name="connsiteY35" fmla="*/ 87576 h 273031"/>
                <a:gd name="connsiteX36" fmla="*/ 632997 w 1533229"/>
                <a:gd name="connsiteY36" fmla="*/ 192539 h 273031"/>
                <a:gd name="connsiteX37" fmla="*/ 556367 w 1533229"/>
                <a:gd name="connsiteY37" fmla="*/ 152615 h 273031"/>
                <a:gd name="connsiteX38" fmla="*/ 510647 w 1533229"/>
                <a:gd name="connsiteY38" fmla="*/ 135228 h 273031"/>
                <a:gd name="connsiteX39" fmla="*/ 465571 w 1533229"/>
                <a:gd name="connsiteY39" fmla="*/ 152615 h 273031"/>
                <a:gd name="connsiteX40" fmla="*/ 556367 w 1533229"/>
                <a:gd name="connsiteY40" fmla="*/ 152615 h 273031"/>
                <a:gd name="connsiteX41" fmla="*/ 1041901 w 1533229"/>
                <a:gd name="connsiteY41" fmla="*/ 186744 h 273031"/>
                <a:gd name="connsiteX42" fmla="*/ 985878 w 1533229"/>
                <a:gd name="connsiteY42" fmla="*/ 208638 h 273031"/>
                <a:gd name="connsiteX43" fmla="*/ 943377 w 1533229"/>
                <a:gd name="connsiteY43" fmla="*/ 165493 h 273031"/>
                <a:gd name="connsiteX44" fmla="*/ 943377 w 1533229"/>
                <a:gd name="connsiteY44" fmla="*/ 92084 h 273031"/>
                <a:gd name="connsiteX45" fmla="*/ 870612 w 1533229"/>
                <a:gd name="connsiteY45" fmla="*/ 92084 h 273031"/>
                <a:gd name="connsiteX46" fmla="*/ 870612 w 1533229"/>
                <a:gd name="connsiteY46" fmla="*/ 194471 h 273031"/>
                <a:gd name="connsiteX47" fmla="*/ 957544 w 1533229"/>
                <a:gd name="connsiteY47" fmla="*/ 269812 h 273031"/>
                <a:gd name="connsiteX48" fmla="*/ 1041901 w 1533229"/>
                <a:gd name="connsiteY48" fmla="*/ 243411 h 273031"/>
                <a:gd name="connsiteX49" fmla="*/ 1041901 w 1533229"/>
                <a:gd name="connsiteY49" fmla="*/ 268524 h 273031"/>
                <a:gd name="connsiteX50" fmla="*/ 1114667 w 1533229"/>
                <a:gd name="connsiteY50" fmla="*/ 268524 h 273031"/>
                <a:gd name="connsiteX51" fmla="*/ 1114667 w 1533229"/>
                <a:gd name="connsiteY51" fmla="*/ 91440 h 273031"/>
                <a:gd name="connsiteX52" fmla="*/ 1041901 w 1533229"/>
                <a:gd name="connsiteY52" fmla="*/ 91440 h 273031"/>
                <a:gd name="connsiteX53" fmla="*/ 1041901 w 1533229"/>
                <a:gd name="connsiteY53" fmla="*/ 186744 h 273031"/>
                <a:gd name="connsiteX54" fmla="*/ 1457888 w 1533229"/>
                <a:gd name="connsiteY54" fmla="*/ 89508 h 273031"/>
                <a:gd name="connsiteX55" fmla="*/ 1371600 w 1533229"/>
                <a:gd name="connsiteY55" fmla="*/ 123637 h 273031"/>
                <a:gd name="connsiteX56" fmla="*/ 1305274 w 1533229"/>
                <a:gd name="connsiteY56" fmla="*/ 89508 h 273031"/>
                <a:gd name="connsiteX57" fmla="*/ 1225425 w 1533229"/>
                <a:gd name="connsiteY57" fmla="*/ 121705 h 273031"/>
                <a:gd name="connsiteX58" fmla="*/ 1225425 w 1533229"/>
                <a:gd name="connsiteY58" fmla="*/ 92084 h 273031"/>
                <a:gd name="connsiteX59" fmla="*/ 1152659 w 1533229"/>
                <a:gd name="connsiteY59" fmla="*/ 92084 h 273031"/>
                <a:gd name="connsiteX60" fmla="*/ 1152659 w 1533229"/>
                <a:gd name="connsiteY60" fmla="*/ 269168 h 273031"/>
                <a:gd name="connsiteX61" fmla="*/ 1225425 w 1533229"/>
                <a:gd name="connsiteY61" fmla="*/ 269168 h 273031"/>
                <a:gd name="connsiteX62" fmla="*/ 1225425 w 1533229"/>
                <a:gd name="connsiteY62" fmla="*/ 173865 h 273031"/>
                <a:gd name="connsiteX63" fmla="*/ 1273721 w 1533229"/>
                <a:gd name="connsiteY63" fmla="*/ 151327 h 273031"/>
                <a:gd name="connsiteX64" fmla="*/ 1307850 w 1533229"/>
                <a:gd name="connsiteY64" fmla="*/ 194471 h 273031"/>
                <a:gd name="connsiteX65" fmla="*/ 1307850 w 1533229"/>
                <a:gd name="connsiteY65" fmla="*/ 269168 h 273031"/>
                <a:gd name="connsiteX66" fmla="*/ 1380615 w 1533229"/>
                <a:gd name="connsiteY66" fmla="*/ 269168 h 273031"/>
                <a:gd name="connsiteX67" fmla="*/ 1380615 w 1533229"/>
                <a:gd name="connsiteY67" fmla="*/ 171933 h 273031"/>
                <a:gd name="connsiteX68" fmla="*/ 1426335 w 1533229"/>
                <a:gd name="connsiteY68" fmla="*/ 151327 h 273031"/>
                <a:gd name="connsiteX69" fmla="*/ 1460464 w 1533229"/>
                <a:gd name="connsiteY69" fmla="*/ 194471 h 273031"/>
                <a:gd name="connsiteX70" fmla="*/ 1460464 w 1533229"/>
                <a:gd name="connsiteY70" fmla="*/ 269168 h 273031"/>
                <a:gd name="connsiteX71" fmla="*/ 1533230 w 1533229"/>
                <a:gd name="connsiteY71" fmla="*/ 269168 h 273031"/>
                <a:gd name="connsiteX72" fmla="*/ 1533230 w 1533229"/>
                <a:gd name="connsiteY72" fmla="*/ 162918 h 273031"/>
                <a:gd name="connsiteX73" fmla="*/ 1457888 w 1533229"/>
                <a:gd name="connsiteY73" fmla="*/ 89508 h 273031"/>
                <a:gd name="connsiteX74" fmla="*/ 0 w 1533229"/>
                <a:gd name="connsiteY74" fmla="*/ 92084 h 273031"/>
                <a:gd name="connsiteX75" fmla="*/ 0 w 1533229"/>
                <a:gd name="connsiteY75" fmla="*/ 269168 h 273031"/>
                <a:gd name="connsiteX76" fmla="*/ 72766 w 1533229"/>
                <a:gd name="connsiteY76" fmla="*/ 269168 h 273031"/>
                <a:gd name="connsiteX77" fmla="*/ 72766 w 1533229"/>
                <a:gd name="connsiteY77" fmla="*/ 92084 h 273031"/>
                <a:gd name="connsiteX78" fmla="*/ 0 w 1533229"/>
                <a:gd name="connsiteY78" fmla="*/ 92084 h 273031"/>
                <a:gd name="connsiteX79" fmla="*/ 72766 w 1533229"/>
                <a:gd name="connsiteY79" fmla="*/ 0 h 273031"/>
                <a:gd name="connsiteX80" fmla="*/ 0 w 1533229"/>
                <a:gd name="connsiteY80" fmla="*/ 0 h 273031"/>
                <a:gd name="connsiteX81" fmla="*/ 0 w 1533229"/>
                <a:gd name="connsiteY81" fmla="*/ 72766 h 273031"/>
                <a:gd name="connsiteX82" fmla="*/ 72766 w 1533229"/>
                <a:gd name="connsiteY82" fmla="*/ 72766 h 273031"/>
                <a:gd name="connsiteX83" fmla="*/ 72766 w 1533229"/>
                <a:gd name="connsiteY83" fmla="*/ 0 h 2730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  <a:cxn ang="0">
                  <a:pos x="connsiteX66" y="connsiteY66"/>
                </a:cxn>
                <a:cxn ang="0">
                  <a:pos x="connsiteX67" y="connsiteY67"/>
                </a:cxn>
                <a:cxn ang="0">
                  <a:pos x="connsiteX68" y="connsiteY68"/>
                </a:cxn>
                <a:cxn ang="0">
                  <a:pos x="connsiteX69" y="connsiteY69"/>
                </a:cxn>
                <a:cxn ang="0">
                  <a:pos x="connsiteX70" y="connsiteY70"/>
                </a:cxn>
                <a:cxn ang="0">
                  <a:pos x="connsiteX71" y="connsiteY71"/>
                </a:cxn>
                <a:cxn ang="0">
                  <a:pos x="connsiteX72" y="connsiteY72"/>
                </a:cxn>
                <a:cxn ang="0">
                  <a:pos x="connsiteX73" y="connsiteY73"/>
                </a:cxn>
                <a:cxn ang="0">
                  <a:pos x="connsiteX74" y="connsiteY74"/>
                </a:cxn>
                <a:cxn ang="0">
                  <a:pos x="connsiteX75" y="connsiteY75"/>
                </a:cxn>
                <a:cxn ang="0">
                  <a:pos x="connsiteX76" y="connsiteY76"/>
                </a:cxn>
                <a:cxn ang="0">
                  <a:pos x="connsiteX77" y="connsiteY77"/>
                </a:cxn>
                <a:cxn ang="0">
                  <a:pos x="connsiteX78" y="connsiteY78"/>
                </a:cxn>
                <a:cxn ang="0">
                  <a:pos x="connsiteX79" y="connsiteY79"/>
                </a:cxn>
                <a:cxn ang="0">
                  <a:pos x="connsiteX80" y="connsiteY80"/>
                </a:cxn>
                <a:cxn ang="0">
                  <a:pos x="connsiteX81" y="connsiteY81"/>
                </a:cxn>
                <a:cxn ang="0">
                  <a:pos x="connsiteX82" y="connsiteY82"/>
                </a:cxn>
                <a:cxn ang="0">
                  <a:pos x="connsiteX83" y="connsiteY83"/>
                </a:cxn>
              </a:cxnLst>
              <a:rect l="l" t="t" r="r" b="b"/>
              <a:pathLst>
                <a:path w="1533229" h="273031">
                  <a:moveTo>
                    <a:pt x="358677" y="169357"/>
                  </a:moveTo>
                  <a:lnTo>
                    <a:pt x="358677" y="269168"/>
                  </a:lnTo>
                  <a:lnTo>
                    <a:pt x="285267" y="269168"/>
                  </a:lnTo>
                  <a:lnTo>
                    <a:pt x="285267" y="198978"/>
                  </a:lnTo>
                  <a:cubicBezTo>
                    <a:pt x="285267" y="167425"/>
                    <a:pt x="274964" y="154546"/>
                    <a:pt x="242123" y="154546"/>
                  </a:cubicBezTo>
                  <a:cubicBezTo>
                    <a:pt x="220229" y="154546"/>
                    <a:pt x="197691" y="164206"/>
                    <a:pt x="183524" y="177728"/>
                  </a:cubicBezTo>
                  <a:lnTo>
                    <a:pt x="183524" y="269812"/>
                  </a:lnTo>
                  <a:lnTo>
                    <a:pt x="110758" y="269812"/>
                  </a:lnTo>
                  <a:lnTo>
                    <a:pt x="110758" y="92084"/>
                  </a:lnTo>
                  <a:lnTo>
                    <a:pt x="183524" y="92084"/>
                  </a:lnTo>
                  <a:lnTo>
                    <a:pt x="183524" y="117842"/>
                  </a:lnTo>
                  <a:cubicBezTo>
                    <a:pt x="205418" y="102387"/>
                    <a:pt x="233108" y="90152"/>
                    <a:pt x="271744" y="90152"/>
                  </a:cubicBezTo>
                  <a:cubicBezTo>
                    <a:pt x="312957" y="90152"/>
                    <a:pt x="358677" y="103675"/>
                    <a:pt x="358677" y="169357"/>
                  </a:cubicBezTo>
                  <a:close/>
                  <a:moveTo>
                    <a:pt x="765005" y="36705"/>
                  </a:moveTo>
                  <a:lnTo>
                    <a:pt x="692239" y="36705"/>
                  </a:lnTo>
                  <a:lnTo>
                    <a:pt x="692239" y="92084"/>
                  </a:lnTo>
                  <a:lnTo>
                    <a:pt x="652959" y="92084"/>
                  </a:lnTo>
                  <a:lnTo>
                    <a:pt x="652959" y="151327"/>
                  </a:lnTo>
                  <a:lnTo>
                    <a:pt x="692239" y="151327"/>
                  </a:lnTo>
                  <a:lnTo>
                    <a:pt x="692239" y="269168"/>
                  </a:lnTo>
                  <a:lnTo>
                    <a:pt x="838415" y="269168"/>
                  </a:lnTo>
                  <a:lnTo>
                    <a:pt x="838415" y="209926"/>
                  </a:lnTo>
                  <a:lnTo>
                    <a:pt x="765649" y="209926"/>
                  </a:lnTo>
                  <a:lnTo>
                    <a:pt x="765649" y="151327"/>
                  </a:lnTo>
                  <a:lnTo>
                    <a:pt x="838415" y="151327"/>
                  </a:lnTo>
                  <a:lnTo>
                    <a:pt x="838415" y="92084"/>
                  </a:lnTo>
                  <a:lnTo>
                    <a:pt x="765649" y="92084"/>
                  </a:lnTo>
                  <a:lnTo>
                    <a:pt x="765649" y="36705"/>
                  </a:lnTo>
                  <a:close/>
                  <a:moveTo>
                    <a:pt x="632997" y="192539"/>
                  </a:moveTo>
                  <a:lnTo>
                    <a:pt x="462352" y="192539"/>
                  </a:lnTo>
                  <a:cubicBezTo>
                    <a:pt x="468147" y="211857"/>
                    <a:pt x="488109" y="216365"/>
                    <a:pt x="508072" y="216365"/>
                  </a:cubicBezTo>
                  <a:cubicBezTo>
                    <a:pt x="527390" y="216365"/>
                    <a:pt x="538337" y="215077"/>
                    <a:pt x="548640" y="209926"/>
                  </a:cubicBezTo>
                  <a:lnTo>
                    <a:pt x="627845" y="209926"/>
                  </a:lnTo>
                  <a:cubicBezTo>
                    <a:pt x="616254" y="252426"/>
                    <a:pt x="577617" y="273032"/>
                    <a:pt x="508072" y="273032"/>
                  </a:cubicBezTo>
                  <a:cubicBezTo>
                    <a:pt x="437882" y="273032"/>
                    <a:pt x="388942" y="246630"/>
                    <a:pt x="388942" y="180304"/>
                  </a:cubicBezTo>
                  <a:cubicBezTo>
                    <a:pt x="388942" y="113978"/>
                    <a:pt x="437882" y="87576"/>
                    <a:pt x="511291" y="87576"/>
                  </a:cubicBezTo>
                  <a:cubicBezTo>
                    <a:pt x="585345" y="87576"/>
                    <a:pt x="632997" y="113978"/>
                    <a:pt x="632997" y="192539"/>
                  </a:cubicBezTo>
                  <a:close/>
                  <a:moveTo>
                    <a:pt x="556367" y="152615"/>
                  </a:moveTo>
                  <a:cubicBezTo>
                    <a:pt x="547996" y="140380"/>
                    <a:pt x="529966" y="135228"/>
                    <a:pt x="510647" y="135228"/>
                  </a:cubicBezTo>
                  <a:cubicBezTo>
                    <a:pt x="491329" y="135228"/>
                    <a:pt x="473299" y="141024"/>
                    <a:pt x="465571" y="152615"/>
                  </a:cubicBezTo>
                  <a:lnTo>
                    <a:pt x="556367" y="152615"/>
                  </a:lnTo>
                  <a:close/>
                  <a:moveTo>
                    <a:pt x="1041901" y="186744"/>
                  </a:moveTo>
                  <a:cubicBezTo>
                    <a:pt x="1028378" y="199622"/>
                    <a:pt x="1006484" y="208638"/>
                    <a:pt x="985878" y="208638"/>
                  </a:cubicBezTo>
                  <a:cubicBezTo>
                    <a:pt x="954325" y="208638"/>
                    <a:pt x="943377" y="195759"/>
                    <a:pt x="943377" y="165493"/>
                  </a:cubicBezTo>
                  <a:lnTo>
                    <a:pt x="943377" y="92084"/>
                  </a:lnTo>
                  <a:lnTo>
                    <a:pt x="870612" y="92084"/>
                  </a:lnTo>
                  <a:lnTo>
                    <a:pt x="870612" y="194471"/>
                  </a:lnTo>
                  <a:cubicBezTo>
                    <a:pt x="870612" y="257577"/>
                    <a:pt x="918264" y="269812"/>
                    <a:pt x="957544" y="269812"/>
                  </a:cubicBezTo>
                  <a:cubicBezTo>
                    <a:pt x="994249" y="269812"/>
                    <a:pt x="1021295" y="258221"/>
                    <a:pt x="1041901" y="243411"/>
                  </a:cubicBezTo>
                  <a:lnTo>
                    <a:pt x="1041901" y="268524"/>
                  </a:lnTo>
                  <a:lnTo>
                    <a:pt x="1114667" y="268524"/>
                  </a:lnTo>
                  <a:lnTo>
                    <a:pt x="1114667" y="91440"/>
                  </a:lnTo>
                  <a:lnTo>
                    <a:pt x="1041901" y="91440"/>
                  </a:lnTo>
                  <a:lnTo>
                    <a:pt x="1041901" y="186744"/>
                  </a:lnTo>
                  <a:close/>
                  <a:moveTo>
                    <a:pt x="1457888" y="89508"/>
                  </a:moveTo>
                  <a:cubicBezTo>
                    <a:pt x="1414744" y="89508"/>
                    <a:pt x="1388987" y="103031"/>
                    <a:pt x="1371600" y="123637"/>
                  </a:cubicBezTo>
                  <a:cubicBezTo>
                    <a:pt x="1357433" y="97879"/>
                    <a:pt x="1327168" y="89508"/>
                    <a:pt x="1305274" y="89508"/>
                  </a:cubicBezTo>
                  <a:cubicBezTo>
                    <a:pt x="1262130" y="89508"/>
                    <a:pt x="1241523" y="106895"/>
                    <a:pt x="1225425" y="121705"/>
                  </a:cubicBezTo>
                  <a:lnTo>
                    <a:pt x="1225425" y="92084"/>
                  </a:lnTo>
                  <a:lnTo>
                    <a:pt x="1152659" y="92084"/>
                  </a:lnTo>
                  <a:lnTo>
                    <a:pt x="1152659" y="269168"/>
                  </a:lnTo>
                  <a:lnTo>
                    <a:pt x="1225425" y="269168"/>
                  </a:lnTo>
                  <a:lnTo>
                    <a:pt x="1225425" y="173865"/>
                  </a:lnTo>
                  <a:cubicBezTo>
                    <a:pt x="1240236" y="159054"/>
                    <a:pt x="1255690" y="151327"/>
                    <a:pt x="1273721" y="151327"/>
                  </a:cubicBezTo>
                  <a:cubicBezTo>
                    <a:pt x="1299478" y="151327"/>
                    <a:pt x="1307850" y="164206"/>
                    <a:pt x="1307850" y="194471"/>
                  </a:cubicBezTo>
                  <a:lnTo>
                    <a:pt x="1307850" y="269168"/>
                  </a:lnTo>
                  <a:lnTo>
                    <a:pt x="1380615" y="269168"/>
                  </a:lnTo>
                  <a:lnTo>
                    <a:pt x="1380615" y="171933"/>
                  </a:lnTo>
                  <a:cubicBezTo>
                    <a:pt x="1395426" y="157122"/>
                    <a:pt x="1408305" y="151327"/>
                    <a:pt x="1426335" y="151327"/>
                  </a:cubicBezTo>
                  <a:cubicBezTo>
                    <a:pt x="1452093" y="151327"/>
                    <a:pt x="1460464" y="164206"/>
                    <a:pt x="1460464" y="194471"/>
                  </a:cubicBezTo>
                  <a:lnTo>
                    <a:pt x="1460464" y="269168"/>
                  </a:lnTo>
                  <a:lnTo>
                    <a:pt x="1533230" y="269168"/>
                  </a:lnTo>
                  <a:lnTo>
                    <a:pt x="1533230" y="162918"/>
                  </a:lnTo>
                  <a:cubicBezTo>
                    <a:pt x="1533230" y="101743"/>
                    <a:pt x="1488798" y="89508"/>
                    <a:pt x="1457888" y="89508"/>
                  </a:cubicBezTo>
                  <a:close/>
                  <a:moveTo>
                    <a:pt x="0" y="92084"/>
                  </a:moveTo>
                  <a:lnTo>
                    <a:pt x="0" y="269168"/>
                  </a:lnTo>
                  <a:lnTo>
                    <a:pt x="72766" y="269168"/>
                  </a:lnTo>
                  <a:lnTo>
                    <a:pt x="72766" y="92084"/>
                  </a:lnTo>
                  <a:lnTo>
                    <a:pt x="0" y="92084"/>
                  </a:lnTo>
                  <a:close/>
                  <a:moveTo>
                    <a:pt x="72766" y="0"/>
                  </a:moveTo>
                  <a:lnTo>
                    <a:pt x="0" y="0"/>
                  </a:lnTo>
                  <a:lnTo>
                    <a:pt x="0" y="72766"/>
                  </a:lnTo>
                  <a:lnTo>
                    <a:pt x="72766" y="72766"/>
                  </a:lnTo>
                  <a:lnTo>
                    <a:pt x="72766" y="0"/>
                  </a:lnTo>
                  <a:close/>
                </a:path>
              </a:pathLst>
            </a:custGeom>
            <a:solidFill>
              <a:srgbClr val="232D4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  <xdr:sp macro="" textlink="">
          <xdr:nvSpPr>
            <xdr:cNvPr id="26" name="Forme libre : forme 20">
              <a:extLst>
                <a:ext uri="{FF2B5EF4-FFF2-40B4-BE49-F238E27FC236}">
                  <a16:creationId xmlns:a16="http://schemas.microsoft.com/office/drawing/2014/main" id="{9877EE9C-0983-4F4A-A459-7A155CF154DB}"/>
                </a:ext>
              </a:extLst>
            </xdr:cNvPr>
            <xdr:cNvSpPr/>
          </xdr:nvSpPr>
          <xdr:spPr>
            <a:xfrm>
              <a:off x="15119439" y="697487"/>
              <a:ext cx="218296" cy="218940"/>
            </a:xfrm>
            <a:custGeom>
              <a:avLst/>
              <a:gdLst>
                <a:gd name="connsiteX0" fmla="*/ 72766 w 218296"/>
                <a:gd name="connsiteY0" fmla="*/ 0 h 218940"/>
                <a:gd name="connsiteX1" fmla="*/ 72766 w 218296"/>
                <a:gd name="connsiteY1" fmla="*/ 72766 h 218940"/>
                <a:gd name="connsiteX2" fmla="*/ 145531 w 218296"/>
                <a:gd name="connsiteY2" fmla="*/ 72766 h 218940"/>
                <a:gd name="connsiteX3" fmla="*/ 145531 w 218296"/>
                <a:gd name="connsiteY3" fmla="*/ 145531 h 218940"/>
                <a:gd name="connsiteX4" fmla="*/ 218297 w 218296"/>
                <a:gd name="connsiteY4" fmla="*/ 145531 h 218940"/>
                <a:gd name="connsiteX5" fmla="*/ 218297 w 218296"/>
                <a:gd name="connsiteY5" fmla="*/ 0 h 218940"/>
                <a:gd name="connsiteX6" fmla="*/ 72766 w 218296"/>
                <a:gd name="connsiteY6" fmla="*/ 0 h 218940"/>
                <a:gd name="connsiteX7" fmla="*/ 72766 w 218296"/>
                <a:gd name="connsiteY7" fmla="*/ 146175 h 218940"/>
                <a:gd name="connsiteX8" fmla="*/ 0 w 218296"/>
                <a:gd name="connsiteY8" fmla="*/ 146175 h 218940"/>
                <a:gd name="connsiteX9" fmla="*/ 0 w 218296"/>
                <a:gd name="connsiteY9" fmla="*/ 218941 h 218940"/>
                <a:gd name="connsiteX10" fmla="*/ 72766 w 218296"/>
                <a:gd name="connsiteY10" fmla="*/ 218941 h 218940"/>
                <a:gd name="connsiteX11" fmla="*/ 72766 w 218296"/>
                <a:gd name="connsiteY11" fmla="*/ 146175 h 2189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218296" h="218940">
                  <a:moveTo>
                    <a:pt x="72766" y="0"/>
                  </a:moveTo>
                  <a:lnTo>
                    <a:pt x="72766" y="72766"/>
                  </a:lnTo>
                  <a:lnTo>
                    <a:pt x="145531" y="72766"/>
                  </a:lnTo>
                  <a:lnTo>
                    <a:pt x="145531" y="145531"/>
                  </a:lnTo>
                  <a:lnTo>
                    <a:pt x="218297" y="145531"/>
                  </a:lnTo>
                  <a:lnTo>
                    <a:pt x="218297" y="0"/>
                  </a:lnTo>
                  <a:lnTo>
                    <a:pt x="72766" y="0"/>
                  </a:lnTo>
                  <a:close/>
                  <a:moveTo>
                    <a:pt x="72766" y="146175"/>
                  </a:moveTo>
                  <a:lnTo>
                    <a:pt x="0" y="146175"/>
                  </a:lnTo>
                  <a:lnTo>
                    <a:pt x="0" y="218941"/>
                  </a:lnTo>
                  <a:lnTo>
                    <a:pt x="72766" y="218941"/>
                  </a:lnTo>
                  <a:lnTo>
                    <a:pt x="72766" y="146175"/>
                  </a:lnTo>
                  <a:close/>
                </a:path>
              </a:pathLst>
            </a:custGeom>
            <a:solidFill>
              <a:srgbClr val="00AA9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213827</xdr:colOff>
      <xdr:row>0</xdr:row>
      <xdr:rowOff>145791</xdr:rowOff>
    </xdr:from>
    <xdr:to>
      <xdr:col>1</xdr:col>
      <xdr:colOff>1532334</xdr:colOff>
      <xdr:row>3</xdr:row>
      <xdr:rowOff>18166</xdr:rowOff>
    </xdr:to>
    <xdr:grpSp>
      <xdr:nvGrpSpPr>
        <xdr:cNvPr id="12" name="Graphique 9">
          <a:extLst>
            <a:ext uri="{FF2B5EF4-FFF2-40B4-BE49-F238E27FC236}">
              <a16:creationId xmlns:a16="http://schemas.microsoft.com/office/drawing/2014/main" id="{AA09FDF2-0779-46E4-ACF2-AEE403CD2543}"/>
            </a:ext>
          </a:extLst>
        </xdr:cNvPr>
        <xdr:cNvGrpSpPr>
          <a:grpSpLocks noChangeAspect="1"/>
        </xdr:cNvGrpSpPr>
      </xdr:nvGrpSpPr>
      <xdr:grpSpPr>
        <a:xfrm>
          <a:off x="213827" y="145791"/>
          <a:ext cx="1775707" cy="567700"/>
          <a:chOff x="13512800" y="647260"/>
          <a:chExt cx="1824935" cy="432728"/>
        </a:xfrm>
      </xdr:grpSpPr>
      <xdr:sp macro="" textlink="">
        <xdr:nvSpPr>
          <xdr:cNvPr id="13" name="Forme libre : forme 17">
            <a:extLst>
              <a:ext uri="{FF2B5EF4-FFF2-40B4-BE49-F238E27FC236}">
                <a16:creationId xmlns:a16="http://schemas.microsoft.com/office/drawing/2014/main" id="{A04B9AA8-5AD1-4C97-98D0-339316B02187}"/>
              </a:ext>
            </a:extLst>
          </xdr:cNvPr>
          <xdr:cNvSpPr/>
        </xdr:nvSpPr>
        <xdr:spPr>
          <a:xfrm>
            <a:off x="13798067" y="988549"/>
            <a:ext cx="1254402" cy="91439"/>
          </a:xfrm>
          <a:custGeom>
            <a:avLst/>
            <a:gdLst>
              <a:gd name="connsiteX0" fmla="*/ 70834 w 1254402"/>
              <a:gd name="connsiteY0" fmla="*/ 31553 h 91439"/>
              <a:gd name="connsiteX1" fmla="*/ 47652 w 1254402"/>
              <a:gd name="connsiteY1" fmla="*/ 53447 h 91439"/>
              <a:gd name="connsiteX2" fmla="*/ 15455 w 1254402"/>
              <a:gd name="connsiteY2" fmla="*/ 53447 h 91439"/>
              <a:gd name="connsiteX3" fmla="*/ 15455 w 1254402"/>
              <a:gd name="connsiteY3" fmla="*/ 69546 h 91439"/>
              <a:gd name="connsiteX4" fmla="*/ 0 w 1254402"/>
              <a:gd name="connsiteY4" fmla="*/ 69546 h 91439"/>
              <a:gd name="connsiteX5" fmla="*/ 0 w 1254402"/>
              <a:gd name="connsiteY5" fmla="*/ 9015 h 91439"/>
              <a:gd name="connsiteX6" fmla="*/ 47652 w 1254402"/>
              <a:gd name="connsiteY6" fmla="*/ 9015 h 91439"/>
              <a:gd name="connsiteX7" fmla="*/ 70834 w 1254402"/>
              <a:gd name="connsiteY7" fmla="*/ 31553 h 91439"/>
              <a:gd name="connsiteX8" fmla="*/ 55379 w 1254402"/>
              <a:gd name="connsiteY8" fmla="*/ 31553 h 91439"/>
              <a:gd name="connsiteX9" fmla="*/ 43788 w 1254402"/>
              <a:gd name="connsiteY9" fmla="*/ 22538 h 91439"/>
              <a:gd name="connsiteX10" fmla="*/ 16099 w 1254402"/>
              <a:gd name="connsiteY10" fmla="*/ 22538 h 91439"/>
              <a:gd name="connsiteX11" fmla="*/ 16099 w 1254402"/>
              <a:gd name="connsiteY11" fmla="*/ 40568 h 91439"/>
              <a:gd name="connsiteX12" fmla="*/ 43144 w 1254402"/>
              <a:gd name="connsiteY12" fmla="*/ 40568 h 91439"/>
              <a:gd name="connsiteX13" fmla="*/ 55379 w 1254402"/>
              <a:gd name="connsiteY13" fmla="*/ 31553 h 91439"/>
              <a:gd name="connsiteX14" fmla="*/ 79849 w 1254402"/>
              <a:gd name="connsiteY14" fmla="*/ 44432 h 91439"/>
              <a:gd name="connsiteX15" fmla="*/ 115266 w 1254402"/>
              <a:gd name="connsiteY15" fmla="*/ 18030 h 91439"/>
              <a:gd name="connsiteX16" fmla="*/ 150683 w 1254402"/>
              <a:gd name="connsiteY16" fmla="*/ 44432 h 91439"/>
              <a:gd name="connsiteX17" fmla="*/ 115266 w 1254402"/>
              <a:gd name="connsiteY17" fmla="*/ 70834 h 91439"/>
              <a:gd name="connsiteX18" fmla="*/ 79849 w 1254402"/>
              <a:gd name="connsiteY18" fmla="*/ 44432 h 91439"/>
              <a:gd name="connsiteX19" fmla="*/ 135228 w 1254402"/>
              <a:gd name="connsiteY19" fmla="*/ 44432 h 91439"/>
              <a:gd name="connsiteX20" fmla="*/ 114622 w 1254402"/>
              <a:gd name="connsiteY20" fmla="*/ 30265 h 91439"/>
              <a:gd name="connsiteX21" fmla="*/ 94016 w 1254402"/>
              <a:gd name="connsiteY21" fmla="*/ 44432 h 91439"/>
              <a:gd name="connsiteX22" fmla="*/ 114622 w 1254402"/>
              <a:gd name="connsiteY22" fmla="*/ 58599 h 91439"/>
              <a:gd name="connsiteX23" fmla="*/ 135228 w 1254402"/>
              <a:gd name="connsiteY23" fmla="*/ 44432 h 91439"/>
              <a:gd name="connsiteX24" fmla="*/ 173221 w 1254402"/>
              <a:gd name="connsiteY24" fmla="*/ 52159 h 91439"/>
              <a:gd name="connsiteX25" fmla="*/ 195115 w 1254402"/>
              <a:gd name="connsiteY25" fmla="*/ 59887 h 91439"/>
              <a:gd name="connsiteX26" fmla="*/ 213789 w 1254402"/>
              <a:gd name="connsiteY26" fmla="*/ 54735 h 91439"/>
              <a:gd name="connsiteX27" fmla="*/ 193827 w 1254402"/>
              <a:gd name="connsiteY27" fmla="*/ 49584 h 91439"/>
              <a:gd name="connsiteX28" fmla="*/ 160342 w 1254402"/>
              <a:gd name="connsiteY28" fmla="*/ 34129 h 91439"/>
              <a:gd name="connsiteX29" fmla="*/ 193827 w 1254402"/>
              <a:gd name="connsiteY29" fmla="*/ 18674 h 91439"/>
              <a:gd name="connsiteX30" fmla="*/ 226668 w 1254402"/>
              <a:gd name="connsiteY30" fmla="*/ 35417 h 91439"/>
              <a:gd name="connsiteX31" fmla="*/ 211857 w 1254402"/>
              <a:gd name="connsiteY31" fmla="*/ 35417 h 91439"/>
              <a:gd name="connsiteX32" fmla="*/ 192539 w 1254402"/>
              <a:gd name="connsiteY32" fmla="*/ 30265 h 91439"/>
              <a:gd name="connsiteX33" fmla="*/ 174509 w 1254402"/>
              <a:gd name="connsiteY33" fmla="*/ 34129 h 91439"/>
              <a:gd name="connsiteX34" fmla="*/ 194471 w 1254402"/>
              <a:gd name="connsiteY34" fmla="*/ 39281 h 91439"/>
              <a:gd name="connsiteX35" fmla="*/ 227956 w 1254402"/>
              <a:gd name="connsiteY35" fmla="*/ 54735 h 91439"/>
              <a:gd name="connsiteX36" fmla="*/ 195759 w 1254402"/>
              <a:gd name="connsiteY36" fmla="*/ 71478 h 91439"/>
              <a:gd name="connsiteX37" fmla="*/ 158410 w 1254402"/>
              <a:gd name="connsiteY37" fmla="*/ 52803 h 91439"/>
              <a:gd name="connsiteX38" fmla="*/ 173221 w 1254402"/>
              <a:gd name="connsiteY38" fmla="*/ 52803 h 91439"/>
              <a:gd name="connsiteX39" fmla="*/ 254358 w 1254402"/>
              <a:gd name="connsiteY39" fmla="*/ 644 h 91439"/>
              <a:gd name="connsiteX40" fmla="*/ 254358 w 1254402"/>
              <a:gd name="connsiteY40" fmla="*/ 13523 h 91439"/>
              <a:gd name="connsiteX41" fmla="*/ 239547 w 1254402"/>
              <a:gd name="connsiteY41" fmla="*/ 13523 h 91439"/>
              <a:gd name="connsiteX42" fmla="*/ 239547 w 1254402"/>
              <a:gd name="connsiteY42" fmla="*/ 644 h 91439"/>
              <a:gd name="connsiteX43" fmla="*/ 254358 w 1254402"/>
              <a:gd name="connsiteY43" fmla="*/ 644 h 91439"/>
              <a:gd name="connsiteX44" fmla="*/ 254358 w 1254402"/>
              <a:gd name="connsiteY44" fmla="*/ 19318 h 91439"/>
              <a:gd name="connsiteX45" fmla="*/ 254358 w 1254402"/>
              <a:gd name="connsiteY45" fmla="*/ 70190 h 91439"/>
              <a:gd name="connsiteX46" fmla="*/ 239547 w 1254402"/>
              <a:gd name="connsiteY46" fmla="*/ 70190 h 91439"/>
              <a:gd name="connsiteX47" fmla="*/ 239547 w 1254402"/>
              <a:gd name="connsiteY47" fmla="*/ 19318 h 91439"/>
              <a:gd name="connsiteX48" fmla="*/ 254358 w 1254402"/>
              <a:gd name="connsiteY48" fmla="*/ 19318 h 91439"/>
              <a:gd name="connsiteX49" fmla="*/ 292994 w 1254402"/>
              <a:gd name="connsiteY49" fmla="*/ 31553 h 91439"/>
              <a:gd name="connsiteX50" fmla="*/ 292994 w 1254402"/>
              <a:gd name="connsiteY50" fmla="*/ 46364 h 91439"/>
              <a:gd name="connsiteX51" fmla="*/ 303941 w 1254402"/>
              <a:gd name="connsiteY51" fmla="*/ 58599 h 91439"/>
              <a:gd name="connsiteX52" fmla="*/ 316820 w 1254402"/>
              <a:gd name="connsiteY52" fmla="*/ 57955 h 91439"/>
              <a:gd name="connsiteX53" fmla="*/ 316820 w 1254402"/>
              <a:gd name="connsiteY53" fmla="*/ 69546 h 91439"/>
              <a:gd name="connsiteX54" fmla="*/ 299434 w 1254402"/>
              <a:gd name="connsiteY54" fmla="*/ 70834 h 91439"/>
              <a:gd name="connsiteX55" fmla="*/ 278184 w 1254402"/>
              <a:gd name="connsiteY55" fmla="*/ 54735 h 91439"/>
              <a:gd name="connsiteX56" fmla="*/ 278184 w 1254402"/>
              <a:gd name="connsiteY56" fmla="*/ 31553 h 91439"/>
              <a:gd name="connsiteX57" fmla="*/ 264661 w 1254402"/>
              <a:gd name="connsiteY57" fmla="*/ 31553 h 91439"/>
              <a:gd name="connsiteX58" fmla="*/ 264661 w 1254402"/>
              <a:gd name="connsiteY58" fmla="*/ 19318 h 91439"/>
              <a:gd name="connsiteX59" fmla="*/ 278184 w 1254402"/>
              <a:gd name="connsiteY59" fmla="*/ 19318 h 91439"/>
              <a:gd name="connsiteX60" fmla="*/ 278184 w 1254402"/>
              <a:gd name="connsiteY60" fmla="*/ 9015 h 91439"/>
              <a:gd name="connsiteX61" fmla="*/ 292994 w 1254402"/>
              <a:gd name="connsiteY61" fmla="*/ 4508 h 91439"/>
              <a:gd name="connsiteX62" fmla="*/ 292994 w 1254402"/>
              <a:gd name="connsiteY62" fmla="*/ 19318 h 91439"/>
              <a:gd name="connsiteX63" fmla="*/ 316820 w 1254402"/>
              <a:gd name="connsiteY63" fmla="*/ 19318 h 91439"/>
              <a:gd name="connsiteX64" fmla="*/ 316820 w 1254402"/>
              <a:gd name="connsiteY64" fmla="*/ 31553 h 91439"/>
              <a:gd name="connsiteX65" fmla="*/ 292994 w 1254402"/>
              <a:gd name="connsiteY65" fmla="*/ 31553 h 91439"/>
              <a:gd name="connsiteX66" fmla="*/ 342578 w 1254402"/>
              <a:gd name="connsiteY66" fmla="*/ 644 h 91439"/>
              <a:gd name="connsiteX67" fmla="*/ 342578 w 1254402"/>
              <a:gd name="connsiteY67" fmla="*/ 13523 h 91439"/>
              <a:gd name="connsiteX68" fmla="*/ 327767 w 1254402"/>
              <a:gd name="connsiteY68" fmla="*/ 13523 h 91439"/>
              <a:gd name="connsiteX69" fmla="*/ 327767 w 1254402"/>
              <a:gd name="connsiteY69" fmla="*/ 644 h 91439"/>
              <a:gd name="connsiteX70" fmla="*/ 342578 w 1254402"/>
              <a:gd name="connsiteY70" fmla="*/ 644 h 91439"/>
              <a:gd name="connsiteX71" fmla="*/ 342578 w 1254402"/>
              <a:gd name="connsiteY71" fmla="*/ 19318 h 91439"/>
              <a:gd name="connsiteX72" fmla="*/ 342578 w 1254402"/>
              <a:gd name="connsiteY72" fmla="*/ 70190 h 91439"/>
              <a:gd name="connsiteX73" fmla="*/ 327767 w 1254402"/>
              <a:gd name="connsiteY73" fmla="*/ 70190 h 91439"/>
              <a:gd name="connsiteX74" fmla="*/ 327767 w 1254402"/>
              <a:gd name="connsiteY74" fmla="*/ 19318 h 91439"/>
              <a:gd name="connsiteX75" fmla="*/ 342578 w 1254402"/>
              <a:gd name="connsiteY75" fmla="*/ 19318 h 91439"/>
              <a:gd name="connsiteX76" fmla="*/ 424359 w 1254402"/>
              <a:gd name="connsiteY76" fmla="*/ 19318 h 91439"/>
              <a:gd name="connsiteX77" fmla="*/ 398601 w 1254402"/>
              <a:gd name="connsiteY77" fmla="*/ 70190 h 91439"/>
              <a:gd name="connsiteX78" fmla="*/ 377995 w 1254402"/>
              <a:gd name="connsiteY78" fmla="*/ 70190 h 91439"/>
              <a:gd name="connsiteX79" fmla="*/ 352237 w 1254402"/>
              <a:gd name="connsiteY79" fmla="*/ 19318 h 91439"/>
              <a:gd name="connsiteX80" fmla="*/ 368336 w 1254402"/>
              <a:gd name="connsiteY80" fmla="*/ 19318 h 91439"/>
              <a:gd name="connsiteX81" fmla="*/ 388298 w 1254402"/>
              <a:gd name="connsiteY81" fmla="*/ 59887 h 91439"/>
              <a:gd name="connsiteX82" fmla="*/ 408260 w 1254402"/>
              <a:gd name="connsiteY82" fmla="*/ 19318 h 91439"/>
              <a:gd name="connsiteX83" fmla="*/ 424359 w 1254402"/>
              <a:gd name="connsiteY83" fmla="*/ 19318 h 91439"/>
              <a:gd name="connsiteX84" fmla="*/ 481670 w 1254402"/>
              <a:gd name="connsiteY84" fmla="*/ 51515 h 91439"/>
              <a:gd name="connsiteX85" fmla="*/ 496481 w 1254402"/>
              <a:gd name="connsiteY85" fmla="*/ 51515 h 91439"/>
              <a:gd name="connsiteX86" fmla="*/ 461708 w 1254402"/>
              <a:gd name="connsiteY86" fmla="*/ 70834 h 91439"/>
              <a:gd name="connsiteX87" fmla="*/ 427579 w 1254402"/>
              <a:gd name="connsiteY87" fmla="*/ 44432 h 91439"/>
              <a:gd name="connsiteX88" fmla="*/ 462995 w 1254402"/>
              <a:gd name="connsiteY88" fmla="*/ 18030 h 91439"/>
              <a:gd name="connsiteX89" fmla="*/ 497768 w 1254402"/>
              <a:gd name="connsiteY89" fmla="*/ 47652 h 91439"/>
              <a:gd name="connsiteX90" fmla="*/ 442389 w 1254402"/>
              <a:gd name="connsiteY90" fmla="*/ 47652 h 91439"/>
              <a:gd name="connsiteX91" fmla="*/ 461708 w 1254402"/>
              <a:gd name="connsiteY91" fmla="*/ 58599 h 91439"/>
              <a:gd name="connsiteX92" fmla="*/ 481670 w 1254402"/>
              <a:gd name="connsiteY92" fmla="*/ 51515 h 91439"/>
              <a:gd name="connsiteX93" fmla="*/ 442389 w 1254402"/>
              <a:gd name="connsiteY93" fmla="*/ 38637 h 91439"/>
              <a:gd name="connsiteX94" fmla="*/ 481026 w 1254402"/>
              <a:gd name="connsiteY94" fmla="*/ 38637 h 91439"/>
              <a:gd name="connsiteX95" fmla="*/ 461708 w 1254402"/>
              <a:gd name="connsiteY95" fmla="*/ 29621 h 91439"/>
              <a:gd name="connsiteX96" fmla="*/ 442389 w 1254402"/>
              <a:gd name="connsiteY96" fmla="*/ 38637 h 91439"/>
              <a:gd name="connsiteX97" fmla="*/ 622694 w 1254402"/>
              <a:gd name="connsiteY97" fmla="*/ 644 h 91439"/>
              <a:gd name="connsiteX98" fmla="*/ 622694 w 1254402"/>
              <a:gd name="connsiteY98" fmla="*/ 69546 h 91439"/>
              <a:gd name="connsiteX99" fmla="*/ 607883 w 1254402"/>
              <a:gd name="connsiteY99" fmla="*/ 69546 h 91439"/>
              <a:gd name="connsiteX100" fmla="*/ 607883 w 1254402"/>
              <a:gd name="connsiteY100" fmla="*/ 61819 h 91439"/>
              <a:gd name="connsiteX101" fmla="*/ 582769 w 1254402"/>
              <a:gd name="connsiteY101" fmla="*/ 70834 h 91439"/>
              <a:gd name="connsiteX102" fmla="*/ 552504 w 1254402"/>
              <a:gd name="connsiteY102" fmla="*/ 44432 h 91439"/>
              <a:gd name="connsiteX103" fmla="*/ 582769 w 1254402"/>
              <a:gd name="connsiteY103" fmla="*/ 18030 h 91439"/>
              <a:gd name="connsiteX104" fmla="*/ 607883 w 1254402"/>
              <a:gd name="connsiteY104" fmla="*/ 27046 h 91439"/>
              <a:gd name="connsiteX105" fmla="*/ 607883 w 1254402"/>
              <a:gd name="connsiteY105" fmla="*/ 644 h 91439"/>
              <a:gd name="connsiteX106" fmla="*/ 622694 w 1254402"/>
              <a:gd name="connsiteY106" fmla="*/ 644 h 91439"/>
              <a:gd name="connsiteX107" fmla="*/ 607883 w 1254402"/>
              <a:gd name="connsiteY107" fmla="*/ 44432 h 91439"/>
              <a:gd name="connsiteX108" fmla="*/ 587277 w 1254402"/>
              <a:gd name="connsiteY108" fmla="*/ 30265 h 91439"/>
              <a:gd name="connsiteX109" fmla="*/ 566670 w 1254402"/>
              <a:gd name="connsiteY109" fmla="*/ 44432 h 91439"/>
              <a:gd name="connsiteX110" fmla="*/ 587277 w 1254402"/>
              <a:gd name="connsiteY110" fmla="*/ 58599 h 91439"/>
              <a:gd name="connsiteX111" fmla="*/ 607883 w 1254402"/>
              <a:gd name="connsiteY111" fmla="*/ 44432 h 91439"/>
              <a:gd name="connsiteX112" fmla="*/ 649739 w 1254402"/>
              <a:gd name="connsiteY112" fmla="*/ 644 h 91439"/>
              <a:gd name="connsiteX113" fmla="*/ 649739 w 1254402"/>
              <a:gd name="connsiteY113" fmla="*/ 13523 h 91439"/>
              <a:gd name="connsiteX114" fmla="*/ 634928 w 1254402"/>
              <a:gd name="connsiteY114" fmla="*/ 13523 h 91439"/>
              <a:gd name="connsiteX115" fmla="*/ 634928 w 1254402"/>
              <a:gd name="connsiteY115" fmla="*/ 644 h 91439"/>
              <a:gd name="connsiteX116" fmla="*/ 649739 w 1254402"/>
              <a:gd name="connsiteY116" fmla="*/ 644 h 91439"/>
              <a:gd name="connsiteX117" fmla="*/ 649739 w 1254402"/>
              <a:gd name="connsiteY117" fmla="*/ 19318 h 91439"/>
              <a:gd name="connsiteX118" fmla="*/ 649739 w 1254402"/>
              <a:gd name="connsiteY118" fmla="*/ 70190 h 91439"/>
              <a:gd name="connsiteX119" fmla="*/ 634928 w 1254402"/>
              <a:gd name="connsiteY119" fmla="*/ 70190 h 91439"/>
              <a:gd name="connsiteX120" fmla="*/ 634928 w 1254402"/>
              <a:gd name="connsiteY120" fmla="*/ 19318 h 91439"/>
              <a:gd name="connsiteX121" fmla="*/ 649739 w 1254402"/>
              <a:gd name="connsiteY121" fmla="*/ 19318 h 91439"/>
              <a:gd name="connsiteX122" fmla="*/ 730876 w 1254402"/>
              <a:gd name="connsiteY122" fmla="*/ 19318 h 91439"/>
              <a:gd name="connsiteX123" fmla="*/ 730876 w 1254402"/>
              <a:gd name="connsiteY123" fmla="*/ 61819 h 91439"/>
              <a:gd name="connsiteX124" fmla="*/ 698035 w 1254402"/>
              <a:gd name="connsiteY124" fmla="*/ 91440 h 91439"/>
              <a:gd name="connsiteX125" fmla="*/ 666482 w 1254402"/>
              <a:gd name="connsiteY125" fmla="*/ 87576 h 91439"/>
              <a:gd name="connsiteX126" fmla="*/ 666482 w 1254402"/>
              <a:gd name="connsiteY126" fmla="*/ 75985 h 91439"/>
              <a:gd name="connsiteX127" fmla="*/ 694815 w 1254402"/>
              <a:gd name="connsiteY127" fmla="*/ 79849 h 91439"/>
              <a:gd name="connsiteX128" fmla="*/ 716065 w 1254402"/>
              <a:gd name="connsiteY128" fmla="*/ 61175 h 91439"/>
              <a:gd name="connsiteX129" fmla="*/ 690308 w 1254402"/>
              <a:gd name="connsiteY129" fmla="*/ 70190 h 91439"/>
              <a:gd name="connsiteX130" fmla="*/ 660686 w 1254402"/>
              <a:gd name="connsiteY130" fmla="*/ 44432 h 91439"/>
              <a:gd name="connsiteX131" fmla="*/ 690308 w 1254402"/>
              <a:gd name="connsiteY131" fmla="*/ 18674 h 91439"/>
              <a:gd name="connsiteX132" fmla="*/ 716065 w 1254402"/>
              <a:gd name="connsiteY132" fmla="*/ 27690 h 91439"/>
              <a:gd name="connsiteX133" fmla="*/ 716065 w 1254402"/>
              <a:gd name="connsiteY133" fmla="*/ 19318 h 91439"/>
              <a:gd name="connsiteX134" fmla="*/ 730876 w 1254402"/>
              <a:gd name="connsiteY134" fmla="*/ 19318 h 91439"/>
              <a:gd name="connsiteX135" fmla="*/ 715421 w 1254402"/>
              <a:gd name="connsiteY135" fmla="*/ 43788 h 91439"/>
              <a:gd name="connsiteX136" fmla="*/ 694815 w 1254402"/>
              <a:gd name="connsiteY136" fmla="*/ 30909 h 91439"/>
              <a:gd name="connsiteX137" fmla="*/ 674209 w 1254402"/>
              <a:gd name="connsiteY137" fmla="*/ 43788 h 91439"/>
              <a:gd name="connsiteX138" fmla="*/ 694815 w 1254402"/>
              <a:gd name="connsiteY138" fmla="*/ 56667 h 91439"/>
              <a:gd name="connsiteX139" fmla="*/ 715421 w 1254402"/>
              <a:gd name="connsiteY139" fmla="*/ 43788 h 91439"/>
              <a:gd name="connsiteX140" fmla="*/ 757278 w 1254402"/>
              <a:gd name="connsiteY140" fmla="*/ 644 h 91439"/>
              <a:gd name="connsiteX141" fmla="*/ 757278 w 1254402"/>
              <a:gd name="connsiteY141" fmla="*/ 13523 h 91439"/>
              <a:gd name="connsiteX142" fmla="*/ 742467 w 1254402"/>
              <a:gd name="connsiteY142" fmla="*/ 13523 h 91439"/>
              <a:gd name="connsiteX143" fmla="*/ 742467 w 1254402"/>
              <a:gd name="connsiteY143" fmla="*/ 644 h 91439"/>
              <a:gd name="connsiteX144" fmla="*/ 757278 w 1254402"/>
              <a:gd name="connsiteY144" fmla="*/ 644 h 91439"/>
              <a:gd name="connsiteX145" fmla="*/ 757278 w 1254402"/>
              <a:gd name="connsiteY145" fmla="*/ 19318 h 91439"/>
              <a:gd name="connsiteX146" fmla="*/ 757278 w 1254402"/>
              <a:gd name="connsiteY146" fmla="*/ 70190 h 91439"/>
              <a:gd name="connsiteX147" fmla="*/ 742467 w 1254402"/>
              <a:gd name="connsiteY147" fmla="*/ 70190 h 91439"/>
              <a:gd name="connsiteX148" fmla="*/ 742467 w 1254402"/>
              <a:gd name="connsiteY148" fmla="*/ 19318 h 91439"/>
              <a:gd name="connsiteX149" fmla="*/ 757278 w 1254402"/>
              <a:gd name="connsiteY149" fmla="*/ 19318 h 91439"/>
              <a:gd name="connsiteX150" fmla="*/ 795914 w 1254402"/>
              <a:gd name="connsiteY150" fmla="*/ 31553 h 91439"/>
              <a:gd name="connsiteX151" fmla="*/ 795914 w 1254402"/>
              <a:gd name="connsiteY151" fmla="*/ 46364 h 91439"/>
              <a:gd name="connsiteX152" fmla="*/ 806861 w 1254402"/>
              <a:gd name="connsiteY152" fmla="*/ 58599 h 91439"/>
              <a:gd name="connsiteX153" fmla="*/ 819740 w 1254402"/>
              <a:gd name="connsiteY153" fmla="*/ 57955 h 91439"/>
              <a:gd name="connsiteX154" fmla="*/ 819740 w 1254402"/>
              <a:gd name="connsiteY154" fmla="*/ 69546 h 91439"/>
              <a:gd name="connsiteX155" fmla="*/ 802354 w 1254402"/>
              <a:gd name="connsiteY155" fmla="*/ 70834 h 91439"/>
              <a:gd name="connsiteX156" fmla="*/ 781104 w 1254402"/>
              <a:gd name="connsiteY156" fmla="*/ 54735 h 91439"/>
              <a:gd name="connsiteX157" fmla="*/ 781104 w 1254402"/>
              <a:gd name="connsiteY157" fmla="*/ 31553 h 91439"/>
              <a:gd name="connsiteX158" fmla="*/ 767581 w 1254402"/>
              <a:gd name="connsiteY158" fmla="*/ 31553 h 91439"/>
              <a:gd name="connsiteX159" fmla="*/ 767581 w 1254402"/>
              <a:gd name="connsiteY159" fmla="*/ 19318 h 91439"/>
              <a:gd name="connsiteX160" fmla="*/ 781104 w 1254402"/>
              <a:gd name="connsiteY160" fmla="*/ 19318 h 91439"/>
              <a:gd name="connsiteX161" fmla="*/ 781104 w 1254402"/>
              <a:gd name="connsiteY161" fmla="*/ 9015 h 91439"/>
              <a:gd name="connsiteX162" fmla="*/ 795914 w 1254402"/>
              <a:gd name="connsiteY162" fmla="*/ 4508 h 91439"/>
              <a:gd name="connsiteX163" fmla="*/ 795914 w 1254402"/>
              <a:gd name="connsiteY163" fmla="*/ 19318 h 91439"/>
              <a:gd name="connsiteX164" fmla="*/ 819740 w 1254402"/>
              <a:gd name="connsiteY164" fmla="*/ 19318 h 91439"/>
              <a:gd name="connsiteX165" fmla="*/ 819740 w 1254402"/>
              <a:gd name="connsiteY165" fmla="*/ 31553 h 91439"/>
              <a:gd name="connsiteX166" fmla="*/ 795914 w 1254402"/>
              <a:gd name="connsiteY166" fmla="*/ 31553 h 91439"/>
              <a:gd name="connsiteX167" fmla="*/ 898301 w 1254402"/>
              <a:gd name="connsiteY167" fmla="*/ 44432 h 91439"/>
              <a:gd name="connsiteX168" fmla="*/ 898301 w 1254402"/>
              <a:gd name="connsiteY168" fmla="*/ 70190 h 91439"/>
              <a:gd name="connsiteX169" fmla="*/ 883491 w 1254402"/>
              <a:gd name="connsiteY169" fmla="*/ 70190 h 91439"/>
              <a:gd name="connsiteX170" fmla="*/ 883491 w 1254402"/>
              <a:gd name="connsiteY170" fmla="*/ 63750 h 91439"/>
              <a:gd name="connsiteX171" fmla="*/ 852581 w 1254402"/>
              <a:gd name="connsiteY171" fmla="*/ 70834 h 91439"/>
              <a:gd name="connsiteX172" fmla="*/ 829400 w 1254402"/>
              <a:gd name="connsiteY172" fmla="*/ 54735 h 91439"/>
              <a:gd name="connsiteX173" fmla="*/ 860309 w 1254402"/>
              <a:gd name="connsiteY173" fmla="*/ 37349 h 91439"/>
              <a:gd name="connsiteX174" fmla="*/ 883491 w 1254402"/>
              <a:gd name="connsiteY174" fmla="*/ 41212 h 91439"/>
              <a:gd name="connsiteX175" fmla="*/ 864172 w 1254402"/>
              <a:gd name="connsiteY175" fmla="*/ 30909 h 91439"/>
              <a:gd name="connsiteX176" fmla="*/ 839059 w 1254402"/>
              <a:gd name="connsiteY176" fmla="*/ 34773 h 91439"/>
              <a:gd name="connsiteX177" fmla="*/ 833907 w 1254402"/>
              <a:gd name="connsiteY177" fmla="*/ 23826 h 91439"/>
              <a:gd name="connsiteX178" fmla="*/ 864816 w 1254402"/>
              <a:gd name="connsiteY178" fmla="*/ 18674 h 91439"/>
              <a:gd name="connsiteX179" fmla="*/ 898301 w 1254402"/>
              <a:gd name="connsiteY179" fmla="*/ 44432 h 91439"/>
              <a:gd name="connsiteX180" fmla="*/ 883491 w 1254402"/>
              <a:gd name="connsiteY180" fmla="*/ 50228 h 91439"/>
              <a:gd name="connsiteX181" fmla="*/ 862241 w 1254402"/>
              <a:gd name="connsiteY181" fmla="*/ 47008 h 91439"/>
              <a:gd name="connsiteX182" fmla="*/ 844854 w 1254402"/>
              <a:gd name="connsiteY182" fmla="*/ 54091 h 91439"/>
              <a:gd name="connsiteX183" fmla="*/ 857733 w 1254402"/>
              <a:gd name="connsiteY183" fmla="*/ 59887 h 91439"/>
              <a:gd name="connsiteX184" fmla="*/ 884135 w 1254402"/>
              <a:gd name="connsiteY184" fmla="*/ 54091 h 91439"/>
              <a:gd name="connsiteX185" fmla="*/ 884135 w 1254402"/>
              <a:gd name="connsiteY185" fmla="*/ 50228 h 91439"/>
              <a:gd name="connsiteX186" fmla="*/ 925347 w 1254402"/>
              <a:gd name="connsiteY186" fmla="*/ 644 h 91439"/>
              <a:gd name="connsiteX187" fmla="*/ 925347 w 1254402"/>
              <a:gd name="connsiteY187" fmla="*/ 69546 h 91439"/>
              <a:gd name="connsiteX188" fmla="*/ 910536 w 1254402"/>
              <a:gd name="connsiteY188" fmla="*/ 69546 h 91439"/>
              <a:gd name="connsiteX189" fmla="*/ 910536 w 1254402"/>
              <a:gd name="connsiteY189" fmla="*/ 644 h 91439"/>
              <a:gd name="connsiteX190" fmla="*/ 925347 w 1254402"/>
              <a:gd name="connsiteY190" fmla="*/ 644 h 91439"/>
              <a:gd name="connsiteX191" fmla="*/ 1009704 w 1254402"/>
              <a:gd name="connsiteY191" fmla="*/ 19318 h 91439"/>
              <a:gd name="connsiteX192" fmla="*/ 1030954 w 1254402"/>
              <a:gd name="connsiteY192" fmla="*/ 19318 h 91439"/>
              <a:gd name="connsiteX193" fmla="*/ 1030954 w 1254402"/>
              <a:gd name="connsiteY193" fmla="*/ 31553 h 91439"/>
              <a:gd name="connsiteX194" fmla="*/ 1009704 w 1254402"/>
              <a:gd name="connsiteY194" fmla="*/ 31553 h 91439"/>
              <a:gd name="connsiteX195" fmla="*/ 1009704 w 1254402"/>
              <a:gd name="connsiteY195" fmla="*/ 70190 h 91439"/>
              <a:gd name="connsiteX196" fmla="*/ 994893 w 1254402"/>
              <a:gd name="connsiteY196" fmla="*/ 70190 h 91439"/>
              <a:gd name="connsiteX197" fmla="*/ 994893 w 1254402"/>
              <a:gd name="connsiteY197" fmla="*/ 31553 h 91439"/>
              <a:gd name="connsiteX198" fmla="*/ 981370 w 1254402"/>
              <a:gd name="connsiteY198" fmla="*/ 31553 h 91439"/>
              <a:gd name="connsiteX199" fmla="*/ 981370 w 1254402"/>
              <a:gd name="connsiteY199" fmla="*/ 19318 h 91439"/>
              <a:gd name="connsiteX200" fmla="*/ 994893 w 1254402"/>
              <a:gd name="connsiteY200" fmla="*/ 19318 h 91439"/>
              <a:gd name="connsiteX201" fmla="*/ 994893 w 1254402"/>
              <a:gd name="connsiteY201" fmla="*/ 15455 h 91439"/>
              <a:gd name="connsiteX202" fmla="*/ 1016143 w 1254402"/>
              <a:gd name="connsiteY202" fmla="*/ 0 h 91439"/>
              <a:gd name="connsiteX203" fmla="*/ 1031598 w 1254402"/>
              <a:gd name="connsiteY203" fmla="*/ 644 h 91439"/>
              <a:gd name="connsiteX204" fmla="*/ 1031598 w 1254402"/>
              <a:gd name="connsiteY204" fmla="*/ 10947 h 91439"/>
              <a:gd name="connsiteX205" fmla="*/ 1021295 w 1254402"/>
              <a:gd name="connsiteY205" fmla="*/ 10303 h 91439"/>
              <a:gd name="connsiteX206" fmla="*/ 1009704 w 1254402"/>
              <a:gd name="connsiteY206" fmla="*/ 19318 h 91439"/>
              <a:gd name="connsiteX207" fmla="*/ 1056712 w 1254402"/>
              <a:gd name="connsiteY207" fmla="*/ 644 h 91439"/>
              <a:gd name="connsiteX208" fmla="*/ 1056712 w 1254402"/>
              <a:gd name="connsiteY208" fmla="*/ 69546 h 91439"/>
              <a:gd name="connsiteX209" fmla="*/ 1041901 w 1254402"/>
              <a:gd name="connsiteY209" fmla="*/ 69546 h 91439"/>
              <a:gd name="connsiteX210" fmla="*/ 1041901 w 1254402"/>
              <a:gd name="connsiteY210" fmla="*/ 644 h 91439"/>
              <a:gd name="connsiteX211" fmla="*/ 1056712 w 1254402"/>
              <a:gd name="connsiteY211" fmla="*/ 644 h 91439"/>
              <a:gd name="connsiteX212" fmla="*/ 1067659 w 1254402"/>
              <a:gd name="connsiteY212" fmla="*/ 44432 h 91439"/>
              <a:gd name="connsiteX213" fmla="*/ 1103076 w 1254402"/>
              <a:gd name="connsiteY213" fmla="*/ 18030 h 91439"/>
              <a:gd name="connsiteX214" fmla="*/ 1138493 w 1254402"/>
              <a:gd name="connsiteY214" fmla="*/ 44432 h 91439"/>
              <a:gd name="connsiteX215" fmla="*/ 1103076 w 1254402"/>
              <a:gd name="connsiteY215" fmla="*/ 70834 h 91439"/>
              <a:gd name="connsiteX216" fmla="*/ 1067659 w 1254402"/>
              <a:gd name="connsiteY216" fmla="*/ 44432 h 91439"/>
              <a:gd name="connsiteX217" fmla="*/ 1123038 w 1254402"/>
              <a:gd name="connsiteY217" fmla="*/ 44432 h 91439"/>
              <a:gd name="connsiteX218" fmla="*/ 1102432 w 1254402"/>
              <a:gd name="connsiteY218" fmla="*/ 30265 h 91439"/>
              <a:gd name="connsiteX219" fmla="*/ 1081825 w 1254402"/>
              <a:gd name="connsiteY219" fmla="*/ 44432 h 91439"/>
              <a:gd name="connsiteX220" fmla="*/ 1102432 w 1254402"/>
              <a:gd name="connsiteY220" fmla="*/ 58599 h 91439"/>
              <a:gd name="connsiteX221" fmla="*/ 1123038 w 1254402"/>
              <a:gd name="connsiteY221" fmla="*/ 44432 h 91439"/>
              <a:gd name="connsiteX222" fmla="*/ 1254402 w 1254402"/>
              <a:gd name="connsiteY222" fmla="*/ 19318 h 91439"/>
              <a:gd name="connsiteX223" fmla="*/ 1231864 w 1254402"/>
              <a:gd name="connsiteY223" fmla="*/ 70190 h 91439"/>
              <a:gd name="connsiteX224" fmla="*/ 1211902 w 1254402"/>
              <a:gd name="connsiteY224" fmla="*/ 70190 h 91439"/>
              <a:gd name="connsiteX225" fmla="*/ 1197091 w 1254402"/>
              <a:gd name="connsiteY225" fmla="*/ 34773 h 91439"/>
              <a:gd name="connsiteX226" fmla="*/ 1182281 w 1254402"/>
              <a:gd name="connsiteY226" fmla="*/ 70190 h 91439"/>
              <a:gd name="connsiteX227" fmla="*/ 1162318 w 1254402"/>
              <a:gd name="connsiteY227" fmla="*/ 70190 h 91439"/>
              <a:gd name="connsiteX228" fmla="*/ 1139780 w 1254402"/>
              <a:gd name="connsiteY228" fmla="*/ 19318 h 91439"/>
              <a:gd name="connsiteX229" fmla="*/ 1156523 w 1254402"/>
              <a:gd name="connsiteY229" fmla="*/ 19318 h 91439"/>
              <a:gd name="connsiteX230" fmla="*/ 1173265 w 1254402"/>
              <a:gd name="connsiteY230" fmla="*/ 58599 h 91439"/>
              <a:gd name="connsiteX231" fmla="*/ 1188720 w 1254402"/>
              <a:gd name="connsiteY231" fmla="*/ 19318 h 91439"/>
              <a:gd name="connsiteX232" fmla="*/ 1206107 w 1254402"/>
              <a:gd name="connsiteY232" fmla="*/ 19318 h 91439"/>
              <a:gd name="connsiteX233" fmla="*/ 1221561 w 1254402"/>
              <a:gd name="connsiteY233" fmla="*/ 57955 h 91439"/>
              <a:gd name="connsiteX234" fmla="*/ 1238304 w 1254402"/>
              <a:gd name="connsiteY234" fmla="*/ 18674 h 91439"/>
              <a:gd name="connsiteX235" fmla="*/ 1254402 w 1254402"/>
              <a:gd name="connsiteY235" fmla="*/ 18674 h 914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</a:cxnLst>
            <a:rect l="l" t="t" r="r" b="b"/>
            <a:pathLst>
              <a:path w="1254402" h="91439">
                <a:moveTo>
                  <a:pt x="70834" y="31553"/>
                </a:moveTo>
                <a:cubicBezTo>
                  <a:pt x="70834" y="45076"/>
                  <a:pt x="61175" y="53447"/>
                  <a:pt x="47652" y="53447"/>
                </a:cubicBezTo>
                <a:lnTo>
                  <a:pt x="15455" y="53447"/>
                </a:lnTo>
                <a:lnTo>
                  <a:pt x="15455" y="69546"/>
                </a:lnTo>
                <a:lnTo>
                  <a:pt x="0" y="69546"/>
                </a:lnTo>
                <a:lnTo>
                  <a:pt x="0" y="9015"/>
                </a:lnTo>
                <a:lnTo>
                  <a:pt x="47652" y="9015"/>
                </a:lnTo>
                <a:cubicBezTo>
                  <a:pt x="61175" y="9659"/>
                  <a:pt x="70834" y="18030"/>
                  <a:pt x="70834" y="31553"/>
                </a:cubicBezTo>
                <a:close/>
                <a:moveTo>
                  <a:pt x="55379" y="31553"/>
                </a:moveTo>
                <a:cubicBezTo>
                  <a:pt x="55379" y="22538"/>
                  <a:pt x="48296" y="22538"/>
                  <a:pt x="43788" y="22538"/>
                </a:cubicBezTo>
                <a:lnTo>
                  <a:pt x="16099" y="22538"/>
                </a:lnTo>
                <a:lnTo>
                  <a:pt x="16099" y="40568"/>
                </a:lnTo>
                <a:lnTo>
                  <a:pt x="43144" y="40568"/>
                </a:lnTo>
                <a:cubicBezTo>
                  <a:pt x="48296" y="40568"/>
                  <a:pt x="55379" y="40568"/>
                  <a:pt x="55379" y="31553"/>
                </a:cubicBezTo>
                <a:close/>
                <a:moveTo>
                  <a:pt x="79849" y="44432"/>
                </a:moveTo>
                <a:cubicBezTo>
                  <a:pt x="79849" y="25758"/>
                  <a:pt x="94016" y="18030"/>
                  <a:pt x="115266" y="18030"/>
                </a:cubicBezTo>
                <a:cubicBezTo>
                  <a:pt x="136516" y="18030"/>
                  <a:pt x="150683" y="25758"/>
                  <a:pt x="150683" y="44432"/>
                </a:cubicBezTo>
                <a:cubicBezTo>
                  <a:pt x="150683" y="63106"/>
                  <a:pt x="136516" y="70834"/>
                  <a:pt x="115266" y="70834"/>
                </a:cubicBezTo>
                <a:cubicBezTo>
                  <a:pt x="94016" y="70834"/>
                  <a:pt x="79849" y="63106"/>
                  <a:pt x="79849" y="44432"/>
                </a:cubicBezTo>
                <a:close/>
                <a:moveTo>
                  <a:pt x="135228" y="44432"/>
                </a:moveTo>
                <a:cubicBezTo>
                  <a:pt x="135228" y="34129"/>
                  <a:pt x="128789" y="30265"/>
                  <a:pt x="114622" y="30265"/>
                </a:cubicBezTo>
                <a:cubicBezTo>
                  <a:pt x="101099" y="30265"/>
                  <a:pt x="94016" y="33485"/>
                  <a:pt x="94016" y="44432"/>
                </a:cubicBezTo>
                <a:cubicBezTo>
                  <a:pt x="94016" y="54735"/>
                  <a:pt x="100455" y="58599"/>
                  <a:pt x="114622" y="58599"/>
                </a:cubicBezTo>
                <a:cubicBezTo>
                  <a:pt x="128789" y="58599"/>
                  <a:pt x="135228" y="54735"/>
                  <a:pt x="135228" y="44432"/>
                </a:cubicBezTo>
                <a:close/>
                <a:moveTo>
                  <a:pt x="173221" y="52159"/>
                </a:moveTo>
                <a:cubicBezTo>
                  <a:pt x="173221" y="57311"/>
                  <a:pt x="179016" y="59887"/>
                  <a:pt x="195115" y="59887"/>
                </a:cubicBezTo>
                <a:cubicBezTo>
                  <a:pt x="211214" y="59887"/>
                  <a:pt x="213789" y="58599"/>
                  <a:pt x="213789" y="54735"/>
                </a:cubicBezTo>
                <a:cubicBezTo>
                  <a:pt x="213789" y="50872"/>
                  <a:pt x="211214" y="50872"/>
                  <a:pt x="193827" y="49584"/>
                </a:cubicBezTo>
                <a:cubicBezTo>
                  <a:pt x="171289" y="48296"/>
                  <a:pt x="160342" y="46364"/>
                  <a:pt x="160342" y="34129"/>
                </a:cubicBezTo>
                <a:cubicBezTo>
                  <a:pt x="160342" y="20606"/>
                  <a:pt x="175797" y="18674"/>
                  <a:pt x="193827" y="18674"/>
                </a:cubicBezTo>
                <a:cubicBezTo>
                  <a:pt x="213145" y="18674"/>
                  <a:pt x="226668" y="21250"/>
                  <a:pt x="226668" y="35417"/>
                </a:cubicBezTo>
                <a:lnTo>
                  <a:pt x="211857" y="35417"/>
                </a:lnTo>
                <a:cubicBezTo>
                  <a:pt x="211857" y="30909"/>
                  <a:pt x="206706" y="30265"/>
                  <a:pt x="192539" y="30265"/>
                </a:cubicBezTo>
                <a:cubicBezTo>
                  <a:pt x="178372" y="30265"/>
                  <a:pt x="174509" y="31553"/>
                  <a:pt x="174509" y="34129"/>
                </a:cubicBezTo>
                <a:cubicBezTo>
                  <a:pt x="174509" y="37349"/>
                  <a:pt x="177085" y="37993"/>
                  <a:pt x="194471" y="39281"/>
                </a:cubicBezTo>
                <a:cubicBezTo>
                  <a:pt x="214433" y="40568"/>
                  <a:pt x="227956" y="41212"/>
                  <a:pt x="227956" y="54735"/>
                </a:cubicBezTo>
                <a:cubicBezTo>
                  <a:pt x="227956" y="68902"/>
                  <a:pt x="215077" y="71478"/>
                  <a:pt x="195759" y="71478"/>
                </a:cubicBezTo>
                <a:cubicBezTo>
                  <a:pt x="176441" y="71478"/>
                  <a:pt x="158410" y="68902"/>
                  <a:pt x="158410" y="52803"/>
                </a:cubicBezTo>
                <a:lnTo>
                  <a:pt x="173221" y="52803"/>
                </a:lnTo>
                <a:close/>
                <a:moveTo>
                  <a:pt x="254358" y="644"/>
                </a:moveTo>
                <a:lnTo>
                  <a:pt x="254358" y="13523"/>
                </a:lnTo>
                <a:lnTo>
                  <a:pt x="239547" y="13523"/>
                </a:lnTo>
                <a:lnTo>
                  <a:pt x="239547" y="644"/>
                </a:lnTo>
                <a:lnTo>
                  <a:pt x="254358" y="644"/>
                </a:lnTo>
                <a:close/>
                <a:moveTo>
                  <a:pt x="254358" y="19318"/>
                </a:moveTo>
                <a:lnTo>
                  <a:pt x="254358" y="70190"/>
                </a:lnTo>
                <a:lnTo>
                  <a:pt x="239547" y="70190"/>
                </a:lnTo>
                <a:lnTo>
                  <a:pt x="239547" y="19318"/>
                </a:lnTo>
                <a:lnTo>
                  <a:pt x="254358" y="19318"/>
                </a:lnTo>
                <a:close/>
                <a:moveTo>
                  <a:pt x="292994" y="31553"/>
                </a:moveTo>
                <a:lnTo>
                  <a:pt x="292994" y="46364"/>
                </a:lnTo>
                <a:cubicBezTo>
                  <a:pt x="292994" y="56023"/>
                  <a:pt x="294926" y="58599"/>
                  <a:pt x="303941" y="58599"/>
                </a:cubicBezTo>
                <a:cubicBezTo>
                  <a:pt x="308449" y="58599"/>
                  <a:pt x="311025" y="58599"/>
                  <a:pt x="316820" y="57955"/>
                </a:cubicBezTo>
                <a:lnTo>
                  <a:pt x="316820" y="69546"/>
                </a:lnTo>
                <a:cubicBezTo>
                  <a:pt x="311669" y="70190"/>
                  <a:pt x="306517" y="70834"/>
                  <a:pt x="299434" y="70834"/>
                </a:cubicBezTo>
                <a:cubicBezTo>
                  <a:pt x="286555" y="70834"/>
                  <a:pt x="278184" y="65682"/>
                  <a:pt x="278184" y="54735"/>
                </a:cubicBezTo>
                <a:lnTo>
                  <a:pt x="278184" y="31553"/>
                </a:lnTo>
                <a:lnTo>
                  <a:pt x="264661" y="31553"/>
                </a:lnTo>
                <a:lnTo>
                  <a:pt x="264661" y="19318"/>
                </a:lnTo>
                <a:lnTo>
                  <a:pt x="278184" y="19318"/>
                </a:lnTo>
                <a:lnTo>
                  <a:pt x="278184" y="9015"/>
                </a:lnTo>
                <a:lnTo>
                  <a:pt x="292994" y="4508"/>
                </a:lnTo>
                <a:lnTo>
                  <a:pt x="292994" y="19318"/>
                </a:lnTo>
                <a:lnTo>
                  <a:pt x="316820" y="19318"/>
                </a:lnTo>
                <a:lnTo>
                  <a:pt x="316820" y="31553"/>
                </a:lnTo>
                <a:lnTo>
                  <a:pt x="292994" y="31553"/>
                </a:lnTo>
                <a:close/>
                <a:moveTo>
                  <a:pt x="342578" y="644"/>
                </a:moveTo>
                <a:lnTo>
                  <a:pt x="342578" y="13523"/>
                </a:lnTo>
                <a:lnTo>
                  <a:pt x="327767" y="13523"/>
                </a:lnTo>
                <a:lnTo>
                  <a:pt x="327767" y="644"/>
                </a:lnTo>
                <a:lnTo>
                  <a:pt x="342578" y="644"/>
                </a:lnTo>
                <a:close/>
                <a:moveTo>
                  <a:pt x="342578" y="19318"/>
                </a:moveTo>
                <a:lnTo>
                  <a:pt x="342578" y="70190"/>
                </a:lnTo>
                <a:lnTo>
                  <a:pt x="327767" y="70190"/>
                </a:lnTo>
                <a:lnTo>
                  <a:pt x="327767" y="19318"/>
                </a:lnTo>
                <a:lnTo>
                  <a:pt x="342578" y="19318"/>
                </a:lnTo>
                <a:close/>
                <a:moveTo>
                  <a:pt x="424359" y="19318"/>
                </a:moveTo>
                <a:lnTo>
                  <a:pt x="398601" y="70190"/>
                </a:lnTo>
                <a:lnTo>
                  <a:pt x="377995" y="70190"/>
                </a:lnTo>
                <a:lnTo>
                  <a:pt x="352237" y="19318"/>
                </a:lnTo>
                <a:lnTo>
                  <a:pt x="368336" y="19318"/>
                </a:lnTo>
                <a:lnTo>
                  <a:pt x="388298" y="59887"/>
                </a:lnTo>
                <a:lnTo>
                  <a:pt x="408260" y="19318"/>
                </a:lnTo>
                <a:lnTo>
                  <a:pt x="424359" y="19318"/>
                </a:lnTo>
                <a:close/>
                <a:moveTo>
                  <a:pt x="481670" y="51515"/>
                </a:moveTo>
                <a:lnTo>
                  <a:pt x="496481" y="51515"/>
                </a:lnTo>
                <a:cubicBezTo>
                  <a:pt x="493261" y="64394"/>
                  <a:pt x="480382" y="70834"/>
                  <a:pt x="461708" y="70834"/>
                </a:cubicBezTo>
                <a:cubicBezTo>
                  <a:pt x="442389" y="70834"/>
                  <a:pt x="427579" y="63106"/>
                  <a:pt x="427579" y="44432"/>
                </a:cubicBezTo>
                <a:cubicBezTo>
                  <a:pt x="427579" y="25758"/>
                  <a:pt x="442389" y="18030"/>
                  <a:pt x="462995" y="18030"/>
                </a:cubicBezTo>
                <a:cubicBezTo>
                  <a:pt x="482314" y="18030"/>
                  <a:pt x="497768" y="24470"/>
                  <a:pt x="497768" y="47652"/>
                </a:cubicBezTo>
                <a:lnTo>
                  <a:pt x="442389" y="47652"/>
                </a:lnTo>
                <a:cubicBezTo>
                  <a:pt x="444321" y="56023"/>
                  <a:pt x="452048" y="58599"/>
                  <a:pt x="461708" y="58599"/>
                </a:cubicBezTo>
                <a:cubicBezTo>
                  <a:pt x="471367" y="58599"/>
                  <a:pt x="477806" y="56667"/>
                  <a:pt x="481670" y="51515"/>
                </a:cubicBezTo>
                <a:close/>
                <a:moveTo>
                  <a:pt x="442389" y="38637"/>
                </a:moveTo>
                <a:lnTo>
                  <a:pt x="481026" y="38637"/>
                </a:lnTo>
                <a:cubicBezTo>
                  <a:pt x="478450" y="31553"/>
                  <a:pt x="471367" y="29621"/>
                  <a:pt x="461708" y="29621"/>
                </a:cubicBezTo>
                <a:cubicBezTo>
                  <a:pt x="452048" y="29621"/>
                  <a:pt x="444965" y="31553"/>
                  <a:pt x="442389" y="38637"/>
                </a:cubicBezTo>
                <a:close/>
                <a:moveTo>
                  <a:pt x="622694" y="644"/>
                </a:moveTo>
                <a:lnTo>
                  <a:pt x="622694" y="69546"/>
                </a:lnTo>
                <a:lnTo>
                  <a:pt x="607883" y="69546"/>
                </a:lnTo>
                <a:lnTo>
                  <a:pt x="607883" y="61819"/>
                </a:lnTo>
                <a:cubicBezTo>
                  <a:pt x="602087" y="67614"/>
                  <a:pt x="593716" y="70834"/>
                  <a:pt x="582769" y="70834"/>
                </a:cubicBezTo>
                <a:cubicBezTo>
                  <a:pt x="566670" y="70834"/>
                  <a:pt x="552504" y="63750"/>
                  <a:pt x="552504" y="44432"/>
                </a:cubicBezTo>
                <a:cubicBezTo>
                  <a:pt x="552504" y="25114"/>
                  <a:pt x="566670" y="18030"/>
                  <a:pt x="582769" y="18030"/>
                </a:cubicBezTo>
                <a:cubicBezTo>
                  <a:pt x="593716" y="18030"/>
                  <a:pt x="602731" y="21250"/>
                  <a:pt x="607883" y="27046"/>
                </a:cubicBezTo>
                <a:lnTo>
                  <a:pt x="607883" y="644"/>
                </a:lnTo>
                <a:lnTo>
                  <a:pt x="622694" y="644"/>
                </a:lnTo>
                <a:close/>
                <a:moveTo>
                  <a:pt x="607883" y="44432"/>
                </a:moveTo>
                <a:cubicBezTo>
                  <a:pt x="607883" y="34129"/>
                  <a:pt x="600800" y="30265"/>
                  <a:pt x="587277" y="30265"/>
                </a:cubicBezTo>
                <a:cubicBezTo>
                  <a:pt x="574398" y="30265"/>
                  <a:pt x="566670" y="34129"/>
                  <a:pt x="566670" y="44432"/>
                </a:cubicBezTo>
                <a:cubicBezTo>
                  <a:pt x="566670" y="54735"/>
                  <a:pt x="573754" y="58599"/>
                  <a:pt x="587277" y="58599"/>
                </a:cubicBezTo>
                <a:cubicBezTo>
                  <a:pt x="600800" y="58599"/>
                  <a:pt x="607883" y="54735"/>
                  <a:pt x="607883" y="44432"/>
                </a:cubicBezTo>
                <a:close/>
                <a:moveTo>
                  <a:pt x="649739" y="644"/>
                </a:moveTo>
                <a:lnTo>
                  <a:pt x="649739" y="13523"/>
                </a:lnTo>
                <a:lnTo>
                  <a:pt x="634928" y="13523"/>
                </a:lnTo>
                <a:lnTo>
                  <a:pt x="634928" y="644"/>
                </a:lnTo>
                <a:lnTo>
                  <a:pt x="649739" y="644"/>
                </a:lnTo>
                <a:close/>
                <a:moveTo>
                  <a:pt x="649739" y="19318"/>
                </a:moveTo>
                <a:lnTo>
                  <a:pt x="649739" y="70190"/>
                </a:lnTo>
                <a:lnTo>
                  <a:pt x="634928" y="70190"/>
                </a:lnTo>
                <a:lnTo>
                  <a:pt x="634928" y="19318"/>
                </a:lnTo>
                <a:lnTo>
                  <a:pt x="649739" y="19318"/>
                </a:lnTo>
                <a:close/>
                <a:moveTo>
                  <a:pt x="730876" y="19318"/>
                </a:moveTo>
                <a:lnTo>
                  <a:pt x="730876" y="61819"/>
                </a:lnTo>
                <a:cubicBezTo>
                  <a:pt x="730876" y="82425"/>
                  <a:pt x="716709" y="91440"/>
                  <a:pt x="698035" y="91440"/>
                </a:cubicBezTo>
                <a:cubicBezTo>
                  <a:pt x="683224" y="91440"/>
                  <a:pt x="670989" y="88864"/>
                  <a:pt x="666482" y="87576"/>
                </a:cubicBezTo>
                <a:lnTo>
                  <a:pt x="666482" y="75985"/>
                </a:lnTo>
                <a:cubicBezTo>
                  <a:pt x="672277" y="77273"/>
                  <a:pt x="683868" y="79849"/>
                  <a:pt x="694815" y="79849"/>
                </a:cubicBezTo>
                <a:cubicBezTo>
                  <a:pt x="710270" y="79849"/>
                  <a:pt x="716065" y="74053"/>
                  <a:pt x="716065" y="61175"/>
                </a:cubicBezTo>
                <a:cubicBezTo>
                  <a:pt x="710914" y="66970"/>
                  <a:pt x="702543" y="70190"/>
                  <a:pt x="690308" y="70190"/>
                </a:cubicBezTo>
                <a:cubicBezTo>
                  <a:pt x="672921" y="70190"/>
                  <a:pt x="660686" y="62463"/>
                  <a:pt x="660686" y="44432"/>
                </a:cubicBezTo>
                <a:cubicBezTo>
                  <a:pt x="660686" y="26402"/>
                  <a:pt x="672921" y="18674"/>
                  <a:pt x="690308" y="18674"/>
                </a:cubicBezTo>
                <a:cubicBezTo>
                  <a:pt x="702543" y="18674"/>
                  <a:pt x="710914" y="21894"/>
                  <a:pt x="716065" y="27690"/>
                </a:cubicBezTo>
                <a:lnTo>
                  <a:pt x="716065" y="19318"/>
                </a:lnTo>
                <a:lnTo>
                  <a:pt x="730876" y="19318"/>
                </a:lnTo>
                <a:close/>
                <a:moveTo>
                  <a:pt x="715421" y="43788"/>
                </a:moveTo>
                <a:cubicBezTo>
                  <a:pt x="715421" y="34773"/>
                  <a:pt x="708982" y="30909"/>
                  <a:pt x="694815" y="30909"/>
                </a:cubicBezTo>
                <a:cubicBezTo>
                  <a:pt x="680648" y="30909"/>
                  <a:pt x="674209" y="34773"/>
                  <a:pt x="674209" y="43788"/>
                </a:cubicBezTo>
                <a:cubicBezTo>
                  <a:pt x="674209" y="52803"/>
                  <a:pt x="680648" y="56667"/>
                  <a:pt x="694815" y="56667"/>
                </a:cubicBezTo>
                <a:cubicBezTo>
                  <a:pt x="708982" y="56667"/>
                  <a:pt x="715421" y="52803"/>
                  <a:pt x="715421" y="43788"/>
                </a:cubicBezTo>
                <a:close/>
                <a:moveTo>
                  <a:pt x="757278" y="644"/>
                </a:moveTo>
                <a:lnTo>
                  <a:pt x="757278" y="13523"/>
                </a:lnTo>
                <a:lnTo>
                  <a:pt x="742467" y="13523"/>
                </a:lnTo>
                <a:lnTo>
                  <a:pt x="742467" y="644"/>
                </a:lnTo>
                <a:lnTo>
                  <a:pt x="757278" y="644"/>
                </a:lnTo>
                <a:close/>
                <a:moveTo>
                  <a:pt x="757278" y="19318"/>
                </a:moveTo>
                <a:lnTo>
                  <a:pt x="757278" y="70190"/>
                </a:lnTo>
                <a:lnTo>
                  <a:pt x="742467" y="70190"/>
                </a:lnTo>
                <a:lnTo>
                  <a:pt x="742467" y="19318"/>
                </a:lnTo>
                <a:lnTo>
                  <a:pt x="757278" y="19318"/>
                </a:lnTo>
                <a:close/>
                <a:moveTo>
                  <a:pt x="795914" y="31553"/>
                </a:moveTo>
                <a:lnTo>
                  <a:pt x="795914" y="46364"/>
                </a:lnTo>
                <a:cubicBezTo>
                  <a:pt x="795914" y="56023"/>
                  <a:pt x="797846" y="58599"/>
                  <a:pt x="806861" y="58599"/>
                </a:cubicBezTo>
                <a:cubicBezTo>
                  <a:pt x="811369" y="58599"/>
                  <a:pt x="813945" y="58599"/>
                  <a:pt x="819740" y="57955"/>
                </a:cubicBezTo>
                <a:lnTo>
                  <a:pt x="819740" y="69546"/>
                </a:lnTo>
                <a:cubicBezTo>
                  <a:pt x="814589" y="70190"/>
                  <a:pt x="809437" y="70834"/>
                  <a:pt x="802354" y="70834"/>
                </a:cubicBezTo>
                <a:cubicBezTo>
                  <a:pt x="789475" y="70834"/>
                  <a:pt x="781104" y="65682"/>
                  <a:pt x="781104" y="54735"/>
                </a:cubicBezTo>
                <a:lnTo>
                  <a:pt x="781104" y="31553"/>
                </a:lnTo>
                <a:lnTo>
                  <a:pt x="767581" y="31553"/>
                </a:lnTo>
                <a:lnTo>
                  <a:pt x="767581" y="19318"/>
                </a:lnTo>
                <a:lnTo>
                  <a:pt x="781104" y="19318"/>
                </a:lnTo>
                <a:lnTo>
                  <a:pt x="781104" y="9015"/>
                </a:lnTo>
                <a:lnTo>
                  <a:pt x="795914" y="4508"/>
                </a:lnTo>
                <a:lnTo>
                  <a:pt x="795914" y="19318"/>
                </a:lnTo>
                <a:lnTo>
                  <a:pt x="819740" y="19318"/>
                </a:lnTo>
                <a:lnTo>
                  <a:pt x="819740" y="31553"/>
                </a:lnTo>
                <a:lnTo>
                  <a:pt x="795914" y="31553"/>
                </a:lnTo>
                <a:close/>
                <a:moveTo>
                  <a:pt x="898301" y="44432"/>
                </a:moveTo>
                <a:lnTo>
                  <a:pt x="898301" y="70190"/>
                </a:lnTo>
                <a:lnTo>
                  <a:pt x="883491" y="70190"/>
                </a:lnTo>
                <a:lnTo>
                  <a:pt x="883491" y="63750"/>
                </a:lnTo>
                <a:cubicBezTo>
                  <a:pt x="874476" y="68258"/>
                  <a:pt x="864816" y="70834"/>
                  <a:pt x="852581" y="70834"/>
                </a:cubicBezTo>
                <a:cubicBezTo>
                  <a:pt x="838415" y="70834"/>
                  <a:pt x="829400" y="66326"/>
                  <a:pt x="829400" y="54735"/>
                </a:cubicBezTo>
                <a:cubicBezTo>
                  <a:pt x="829400" y="41856"/>
                  <a:pt x="843566" y="37349"/>
                  <a:pt x="860309" y="37349"/>
                </a:cubicBezTo>
                <a:cubicBezTo>
                  <a:pt x="869324" y="37349"/>
                  <a:pt x="877051" y="38637"/>
                  <a:pt x="883491" y="41212"/>
                </a:cubicBezTo>
                <a:cubicBezTo>
                  <a:pt x="883491" y="31553"/>
                  <a:pt x="871256" y="30909"/>
                  <a:pt x="864172" y="30909"/>
                </a:cubicBezTo>
                <a:cubicBezTo>
                  <a:pt x="857733" y="30909"/>
                  <a:pt x="849362" y="31553"/>
                  <a:pt x="839059" y="34773"/>
                </a:cubicBezTo>
                <a:lnTo>
                  <a:pt x="833907" y="23826"/>
                </a:lnTo>
                <a:cubicBezTo>
                  <a:pt x="844210" y="20606"/>
                  <a:pt x="854513" y="18674"/>
                  <a:pt x="864816" y="18674"/>
                </a:cubicBezTo>
                <a:cubicBezTo>
                  <a:pt x="886066" y="18030"/>
                  <a:pt x="898301" y="25114"/>
                  <a:pt x="898301" y="44432"/>
                </a:cubicBezTo>
                <a:close/>
                <a:moveTo>
                  <a:pt x="883491" y="50228"/>
                </a:moveTo>
                <a:cubicBezTo>
                  <a:pt x="878339" y="48296"/>
                  <a:pt x="871256" y="47008"/>
                  <a:pt x="862241" y="47008"/>
                </a:cubicBezTo>
                <a:cubicBezTo>
                  <a:pt x="851294" y="47008"/>
                  <a:pt x="844854" y="48940"/>
                  <a:pt x="844854" y="54091"/>
                </a:cubicBezTo>
                <a:cubicBezTo>
                  <a:pt x="844854" y="59243"/>
                  <a:pt x="850006" y="59887"/>
                  <a:pt x="857733" y="59887"/>
                </a:cubicBezTo>
                <a:cubicBezTo>
                  <a:pt x="865460" y="59887"/>
                  <a:pt x="877051" y="57311"/>
                  <a:pt x="884135" y="54091"/>
                </a:cubicBezTo>
                <a:lnTo>
                  <a:pt x="884135" y="50228"/>
                </a:lnTo>
                <a:close/>
                <a:moveTo>
                  <a:pt x="925347" y="644"/>
                </a:moveTo>
                <a:lnTo>
                  <a:pt x="925347" y="69546"/>
                </a:lnTo>
                <a:lnTo>
                  <a:pt x="910536" y="69546"/>
                </a:lnTo>
                <a:lnTo>
                  <a:pt x="910536" y="644"/>
                </a:lnTo>
                <a:lnTo>
                  <a:pt x="925347" y="644"/>
                </a:lnTo>
                <a:close/>
                <a:moveTo>
                  <a:pt x="1009704" y="19318"/>
                </a:moveTo>
                <a:lnTo>
                  <a:pt x="1030954" y="19318"/>
                </a:lnTo>
                <a:lnTo>
                  <a:pt x="1030954" y="31553"/>
                </a:lnTo>
                <a:lnTo>
                  <a:pt x="1009704" y="31553"/>
                </a:lnTo>
                <a:lnTo>
                  <a:pt x="1009704" y="70190"/>
                </a:lnTo>
                <a:lnTo>
                  <a:pt x="994893" y="70190"/>
                </a:lnTo>
                <a:lnTo>
                  <a:pt x="994893" y="31553"/>
                </a:lnTo>
                <a:lnTo>
                  <a:pt x="981370" y="31553"/>
                </a:lnTo>
                <a:lnTo>
                  <a:pt x="981370" y="19318"/>
                </a:lnTo>
                <a:lnTo>
                  <a:pt x="994893" y="19318"/>
                </a:lnTo>
                <a:lnTo>
                  <a:pt x="994893" y="15455"/>
                </a:lnTo>
                <a:cubicBezTo>
                  <a:pt x="994893" y="5152"/>
                  <a:pt x="1001332" y="0"/>
                  <a:pt x="1016143" y="0"/>
                </a:cubicBezTo>
                <a:cubicBezTo>
                  <a:pt x="1021295" y="0"/>
                  <a:pt x="1023870" y="0"/>
                  <a:pt x="1031598" y="644"/>
                </a:cubicBezTo>
                <a:lnTo>
                  <a:pt x="1031598" y="10947"/>
                </a:lnTo>
                <a:cubicBezTo>
                  <a:pt x="1028378" y="10947"/>
                  <a:pt x="1024514" y="10303"/>
                  <a:pt x="1021295" y="10303"/>
                </a:cubicBezTo>
                <a:cubicBezTo>
                  <a:pt x="1012279" y="10947"/>
                  <a:pt x="1009704" y="12879"/>
                  <a:pt x="1009704" y="19318"/>
                </a:cubicBezTo>
                <a:close/>
                <a:moveTo>
                  <a:pt x="1056712" y="644"/>
                </a:moveTo>
                <a:lnTo>
                  <a:pt x="1056712" y="69546"/>
                </a:lnTo>
                <a:lnTo>
                  <a:pt x="1041901" y="69546"/>
                </a:lnTo>
                <a:lnTo>
                  <a:pt x="1041901" y="644"/>
                </a:lnTo>
                <a:lnTo>
                  <a:pt x="1056712" y="644"/>
                </a:lnTo>
                <a:close/>
                <a:moveTo>
                  <a:pt x="1067659" y="44432"/>
                </a:moveTo>
                <a:cubicBezTo>
                  <a:pt x="1067659" y="25758"/>
                  <a:pt x="1081825" y="18030"/>
                  <a:pt x="1103076" y="18030"/>
                </a:cubicBezTo>
                <a:cubicBezTo>
                  <a:pt x="1124326" y="18030"/>
                  <a:pt x="1138493" y="25758"/>
                  <a:pt x="1138493" y="44432"/>
                </a:cubicBezTo>
                <a:cubicBezTo>
                  <a:pt x="1138493" y="63106"/>
                  <a:pt x="1124326" y="70834"/>
                  <a:pt x="1103076" y="70834"/>
                </a:cubicBezTo>
                <a:cubicBezTo>
                  <a:pt x="1081825" y="70834"/>
                  <a:pt x="1067659" y="63106"/>
                  <a:pt x="1067659" y="44432"/>
                </a:cubicBezTo>
                <a:close/>
                <a:moveTo>
                  <a:pt x="1123038" y="44432"/>
                </a:moveTo>
                <a:cubicBezTo>
                  <a:pt x="1123038" y="34129"/>
                  <a:pt x="1116598" y="30265"/>
                  <a:pt x="1102432" y="30265"/>
                </a:cubicBezTo>
                <a:cubicBezTo>
                  <a:pt x="1088909" y="30265"/>
                  <a:pt x="1081825" y="33485"/>
                  <a:pt x="1081825" y="44432"/>
                </a:cubicBezTo>
                <a:cubicBezTo>
                  <a:pt x="1081825" y="54735"/>
                  <a:pt x="1088265" y="58599"/>
                  <a:pt x="1102432" y="58599"/>
                </a:cubicBezTo>
                <a:cubicBezTo>
                  <a:pt x="1115954" y="58599"/>
                  <a:pt x="1123038" y="54735"/>
                  <a:pt x="1123038" y="44432"/>
                </a:cubicBezTo>
                <a:close/>
                <a:moveTo>
                  <a:pt x="1254402" y="19318"/>
                </a:moveTo>
                <a:lnTo>
                  <a:pt x="1231864" y="70190"/>
                </a:lnTo>
                <a:lnTo>
                  <a:pt x="1211902" y="70190"/>
                </a:lnTo>
                <a:lnTo>
                  <a:pt x="1197091" y="34773"/>
                </a:lnTo>
                <a:lnTo>
                  <a:pt x="1182281" y="70190"/>
                </a:lnTo>
                <a:lnTo>
                  <a:pt x="1162318" y="70190"/>
                </a:lnTo>
                <a:lnTo>
                  <a:pt x="1139780" y="19318"/>
                </a:lnTo>
                <a:lnTo>
                  <a:pt x="1156523" y="19318"/>
                </a:lnTo>
                <a:lnTo>
                  <a:pt x="1173265" y="58599"/>
                </a:lnTo>
                <a:lnTo>
                  <a:pt x="1188720" y="19318"/>
                </a:lnTo>
                <a:lnTo>
                  <a:pt x="1206107" y="19318"/>
                </a:lnTo>
                <a:lnTo>
                  <a:pt x="1221561" y="57955"/>
                </a:lnTo>
                <a:lnTo>
                  <a:pt x="1238304" y="18674"/>
                </a:lnTo>
                <a:lnTo>
                  <a:pt x="1254402" y="18674"/>
                </a:lnTo>
                <a:close/>
              </a:path>
            </a:pathLst>
          </a:custGeom>
          <a:solidFill>
            <a:srgbClr val="00AA9B"/>
          </a:solidFill>
          <a:ln w="6439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grpSp>
        <xdr:nvGrpSpPr>
          <xdr:cNvPr id="14" name="Graphique 9">
            <a:extLst>
              <a:ext uri="{FF2B5EF4-FFF2-40B4-BE49-F238E27FC236}">
                <a16:creationId xmlns:a16="http://schemas.microsoft.com/office/drawing/2014/main" id="{BFAD223F-D37F-4ADE-830B-3C5EAF83C0A6}"/>
              </a:ext>
            </a:extLst>
          </xdr:cNvPr>
          <xdr:cNvGrpSpPr/>
        </xdr:nvGrpSpPr>
        <xdr:grpSpPr>
          <a:xfrm>
            <a:off x="13512800" y="647260"/>
            <a:ext cx="1824935" cy="273031"/>
            <a:chOff x="13512800" y="647260"/>
            <a:chExt cx="1824935" cy="273031"/>
          </a:xfrm>
        </xdr:grpSpPr>
        <xdr:sp macro="" textlink="">
          <xdr:nvSpPr>
            <xdr:cNvPr id="15" name="Forme libre : forme 19">
              <a:extLst>
                <a:ext uri="{FF2B5EF4-FFF2-40B4-BE49-F238E27FC236}">
                  <a16:creationId xmlns:a16="http://schemas.microsoft.com/office/drawing/2014/main" id="{F11B3181-E11B-4056-BAE5-32AA6D6A3087}"/>
                </a:ext>
              </a:extLst>
            </xdr:cNvPr>
            <xdr:cNvSpPr/>
          </xdr:nvSpPr>
          <xdr:spPr>
            <a:xfrm>
              <a:off x="13512800" y="647260"/>
              <a:ext cx="1533229" cy="273031"/>
            </a:xfrm>
            <a:custGeom>
              <a:avLst/>
              <a:gdLst>
                <a:gd name="connsiteX0" fmla="*/ 358677 w 1533229"/>
                <a:gd name="connsiteY0" fmla="*/ 169357 h 273031"/>
                <a:gd name="connsiteX1" fmla="*/ 358677 w 1533229"/>
                <a:gd name="connsiteY1" fmla="*/ 269168 h 273031"/>
                <a:gd name="connsiteX2" fmla="*/ 285267 w 1533229"/>
                <a:gd name="connsiteY2" fmla="*/ 269168 h 273031"/>
                <a:gd name="connsiteX3" fmla="*/ 285267 w 1533229"/>
                <a:gd name="connsiteY3" fmla="*/ 198978 h 273031"/>
                <a:gd name="connsiteX4" fmla="*/ 242123 w 1533229"/>
                <a:gd name="connsiteY4" fmla="*/ 154546 h 273031"/>
                <a:gd name="connsiteX5" fmla="*/ 183524 w 1533229"/>
                <a:gd name="connsiteY5" fmla="*/ 177728 h 273031"/>
                <a:gd name="connsiteX6" fmla="*/ 183524 w 1533229"/>
                <a:gd name="connsiteY6" fmla="*/ 269812 h 273031"/>
                <a:gd name="connsiteX7" fmla="*/ 110758 w 1533229"/>
                <a:gd name="connsiteY7" fmla="*/ 269812 h 273031"/>
                <a:gd name="connsiteX8" fmla="*/ 110758 w 1533229"/>
                <a:gd name="connsiteY8" fmla="*/ 92084 h 273031"/>
                <a:gd name="connsiteX9" fmla="*/ 183524 w 1533229"/>
                <a:gd name="connsiteY9" fmla="*/ 92084 h 273031"/>
                <a:gd name="connsiteX10" fmla="*/ 183524 w 1533229"/>
                <a:gd name="connsiteY10" fmla="*/ 117842 h 273031"/>
                <a:gd name="connsiteX11" fmla="*/ 271744 w 1533229"/>
                <a:gd name="connsiteY11" fmla="*/ 90152 h 273031"/>
                <a:gd name="connsiteX12" fmla="*/ 358677 w 1533229"/>
                <a:gd name="connsiteY12" fmla="*/ 169357 h 273031"/>
                <a:gd name="connsiteX13" fmla="*/ 765005 w 1533229"/>
                <a:gd name="connsiteY13" fmla="*/ 36705 h 273031"/>
                <a:gd name="connsiteX14" fmla="*/ 692239 w 1533229"/>
                <a:gd name="connsiteY14" fmla="*/ 36705 h 273031"/>
                <a:gd name="connsiteX15" fmla="*/ 692239 w 1533229"/>
                <a:gd name="connsiteY15" fmla="*/ 92084 h 273031"/>
                <a:gd name="connsiteX16" fmla="*/ 652959 w 1533229"/>
                <a:gd name="connsiteY16" fmla="*/ 92084 h 273031"/>
                <a:gd name="connsiteX17" fmla="*/ 652959 w 1533229"/>
                <a:gd name="connsiteY17" fmla="*/ 151327 h 273031"/>
                <a:gd name="connsiteX18" fmla="*/ 692239 w 1533229"/>
                <a:gd name="connsiteY18" fmla="*/ 151327 h 273031"/>
                <a:gd name="connsiteX19" fmla="*/ 692239 w 1533229"/>
                <a:gd name="connsiteY19" fmla="*/ 269168 h 273031"/>
                <a:gd name="connsiteX20" fmla="*/ 838415 w 1533229"/>
                <a:gd name="connsiteY20" fmla="*/ 269168 h 273031"/>
                <a:gd name="connsiteX21" fmla="*/ 838415 w 1533229"/>
                <a:gd name="connsiteY21" fmla="*/ 209926 h 273031"/>
                <a:gd name="connsiteX22" fmla="*/ 765649 w 1533229"/>
                <a:gd name="connsiteY22" fmla="*/ 209926 h 273031"/>
                <a:gd name="connsiteX23" fmla="*/ 765649 w 1533229"/>
                <a:gd name="connsiteY23" fmla="*/ 151327 h 273031"/>
                <a:gd name="connsiteX24" fmla="*/ 838415 w 1533229"/>
                <a:gd name="connsiteY24" fmla="*/ 151327 h 273031"/>
                <a:gd name="connsiteX25" fmla="*/ 838415 w 1533229"/>
                <a:gd name="connsiteY25" fmla="*/ 92084 h 273031"/>
                <a:gd name="connsiteX26" fmla="*/ 765649 w 1533229"/>
                <a:gd name="connsiteY26" fmla="*/ 92084 h 273031"/>
                <a:gd name="connsiteX27" fmla="*/ 765649 w 1533229"/>
                <a:gd name="connsiteY27" fmla="*/ 36705 h 273031"/>
                <a:gd name="connsiteX28" fmla="*/ 632997 w 1533229"/>
                <a:gd name="connsiteY28" fmla="*/ 192539 h 273031"/>
                <a:gd name="connsiteX29" fmla="*/ 462352 w 1533229"/>
                <a:gd name="connsiteY29" fmla="*/ 192539 h 273031"/>
                <a:gd name="connsiteX30" fmla="*/ 508072 w 1533229"/>
                <a:gd name="connsiteY30" fmla="*/ 216365 h 273031"/>
                <a:gd name="connsiteX31" fmla="*/ 548640 w 1533229"/>
                <a:gd name="connsiteY31" fmla="*/ 209926 h 273031"/>
                <a:gd name="connsiteX32" fmla="*/ 627845 w 1533229"/>
                <a:gd name="connsiteY32" fmla="*/ 209926 h 273031"/>
                <a:gd name="connsiteX33" fmla="*/ 508072 w 1533229"/>
                <a:gd name="connsiteY33" fmla="*/ 273032 h 273031"/>
                <a:gd name="connsiteX34" fmla="*/ 388942 w 1533229"/>
                <a:gd name="connsiteY34" fmla="*/ 180304 h 273031"/>
                <a:gd name="connsiteX35" fmla="*/ 511291 w 1533229"/>
                <a:gd name="connsiteY35" fmla="*/ 87576 h 273031"/>
                <a:gd name="connsiteX36" fmla="*/ 632997 w 1533229"/>
                <a:gd name="connsiteY36" fmla="*/ 192539 h 273031"/>
                <a:gd name="connsiteX37" fmla="*/ 556367 w 1533229"/>
                <a:gd name="connsiteY37" fmla="*/ 152615 h 273031"/>
                <a:gd name="connsiteX38" fmla="*/ 510647 w 1533229"/>
                <a:gd name="connsiteY38" fmla="*/ 135228 h 273031"/>
                <a:gd name="connsiteX39" fmla="*/ 465571 w 1533229"/>
                <a:gd name="connsiteY39" fmla="*/ 152615 h 273031"/>
                <a:gd name="connsiteX40" fmla="*/ 556367 w 1533229"/>
                <a:gd name="connsiteY40" fmla="*/ 152615 h 273031"/>
                <a:gd name="connsiteX41" fmla="*/ 1041901 w 1533229"/>
                <a:gd name="connsiteY41" fmla="*/ 186744 h 273031"/>
                <a:gd name="connsiteX42" fmla="*/ 985878 w 1533229"/>
                <a:gd name="connsiteY42" fmla="*/ 208638 h 273031"/>
                <a:gd name="connsiteX43" fmla="*/ 943377 w 1533229"/>
                <a:gd name="connsiteY43" fmla="*/ 165493 h 273031"/>
                <a:gd name="connsiteX44" fmla="*/ 943377 w 1533229"/>
                <a:gd name="connsiteY44" fmla="*/ 92084 h 273031"/>
                <a:gd name="connsiteX45" fmla="*/ 870612 w 1533229"/>
                <a:gd name="connsiteY45" fmla="*/ 92084 h 273031"/>
                <a:gd name="connsiteX46" fmla="*/ 870612 w 1533229"/>
                <a:gd name="connsiteY46" fmla="*/ 194471 h 273031"/>
                <a:gd name="connsiteX47" fmla="*/ 957544 w 1533229"/>
                <a:gd name="connsiteY47" fmla="*/ 269812 h 273031"/>
                <a:gd name="connsiteX48" fmla="*/ 1041901 w 1533229"/>
                <a:gd name="connsiteY48" fmla="*/ 243411 h 273031"/>
                <a:gd name="connsiteX49" fmla="*/ 1041901 w 1533229"/>
                <a:gd name="connsiteY49" fmla="*/ 268524 h 273031"/>
                <a:gd name="connsiteX50" fmla="*/ 1114667 w 1533229"/>
                <a:gd name="connsiteY50" fmla="*/ 268524 h 273031"/>
                <a:gd name="connsiteX51" fmla="*/ 1114667 w 1533229"/>
                <a:gd name="connsiteY51" fmla="*/ 91440 h 273031"/>
                <a:gd name="connsiteX52" fmla="*/ 1041901 w 1533229"/>
                <a:gd name="connsiteY52" fmla="*/ 91440 h 273031"/>
                <a:gd name="connsiteX53" fmla="*/ 1041901 w 1533229"/>
                <a:gd name="connsiteY53" fmla="*/ 186744 h 273031"/>
                <a:gd name="connsiteX54" fmla="*/ 1457888 w 1533229"/>
                <a:gd name="connsiteY54" fmla="*/ 89508 h 273031"/>
                <a:gd name="connsiteX55" fmla="*/ 1371600 w 1533229"/>
                <a:gd name="connsiteY55" fmla="*/ 123637 h 273031"/>
                <a:gd name="connsiteX56" fmla="*/ 1305274 w 1533229"/>
                <a:gd name="connsiteY56" fmla="*/ 89508 h 273031"/>
                <a:gd name="connsiteX57" fmla="*/ 1225425 w 1533229"/>
                <a:gd name="connsiteY57" fmla="*/ 121705 h 273031"/>
                <a:gd name="connsiteX58" fmla="*/ 1225425 w 1533229"/>
                <a:gd name="connsiteY58" fmla="*/ 92084 h 273031"/>
                <a:gd name="connsiteX59" fmla="*/ 1152659 w 1533229"/>
                <a:gd name="connsiteY59" fmla="*/ 92084 h 273031"/>
                <a:gd name="connsiteX60" fmla="*/ 1152659 w 1533229"/>
                <a:gd name="connsiteY60" fmla="*/ 269168 h 273031"/>
                <a:gd name="connsiteX61" fmla="*/ 1225425 w 1533229"/>
                <a:gd name="connsiteY61" fmla="*/ 269168 h 273031"/>
                <a:gd name="connsiteX62" fmla="*/ 1225425 w 1533229"/>
                <a:gd name="connsiteY62" fmla="*/ 173865 h 273031"/>
                <a:gd name="connsiteX63" fmla="*/ 1273721 w 1533229"/>
                <a:gd name="connsiteY63" fmla="*/ 151327 h 273031"/>
                <a:gd name="connsiteX64" fmla="*/ 1307850 w 1533229"/>
                <a:gd name="connsiteY64" fmla="*/ 194471 h 273031"/>
                <a:gd name="connsiteX65" fmla="*/ 1307850 w 1533229"/>
                <a:gd name="connsiteY65" fmla="*/ 269168 h 273031"/>
                <a:gd name="connsiteX66" fmla="*/ 1380615 w 1533229"/>
                <a:gd name="connsiteY66" fmla="*/ 269168 h 273031"/>
                <a:gd name="connsiteX67" fmla="*/ 1380615 w 1533229"/>
                <a:gd name="connsiteY67" fmla="*/ 171933 h 273031"/>
                <a:gd name="connsiteX68" fmla="*/ 1426335 w 1533229"/>
                <a:gd name="connsiteY68" fmla="*/ 151327 h 273031"/>
                <a:gd name="connsiteX69" fmla="*/ 1460464 w 1533229"/>
                <a:gd name="connsiteY69" fmla="*/ 194471 h 273031"/>
                <a:gd name="connsiteX70" fmla="*/ 1460464 w 1533229"/>
                <a:gd name="connsiteY70" fmla="*/ 269168 h 273031"/>
                <a:gd name="connsiteX71" fmla="*/ 1533230 w 1533229"/>
                <a:gd name="connsiteY71" fmla="*/ 269168 h 273031"/>
                <a:gd name="connsiteX72" fmla="*/ 1533230 w 1533229"/>
                <a:gd name="connsiteY72" fmla="*/ 162918 h 273031"/>
                <a:gd name="connsiteX73" fmla="*/ 1457888 w 1533229"/>
                <a:gd name="connsiteY73" fmla="*/ 89508 h 273031"/>
                <a:gd name="connsiteX74" fmla="*/ 0 w 1533229"/>
                <a:gd name="connsiteY74" fmla="*/ 92084 h 273031"/>
                <a:gd name="connsiteX75" fmla="*/ 0 w 1533229"/>
                <a:gd name="connsiteY75" fmla="*/ 269168 h 273031"/>
                <a:gd name="connsiteX76" fmla="*/ 72766 w 1533229"/>
                <a:gd name="connsiteY76" fmla="*/ 269168 h 273031"/>
                <a:gd name="connsiteX77" fmla="*/ 72766 w 1533229"/>
                <a:gd name="connsiteY77" fmla="*/ 92084 h 273031"/>
                <a:gd name="connsiteX78" fmla="*/ 0 w 1533229"/>
                <a:gd name="connsiteY78" fmla="*/ 92084 h 273031"/>
                <a:gd name="connsiteX79" fmla="*/ 72766 w 1533229"/>
                <a:gd name="connsiteY79" fmla="*/ 0 h 273031"/>
                <a:gd name="connsiteX80" fmla="*/ 0 w 1533229"/>
                <a:gd name="connsiteY80" fmla="*/ 0 h 273031"/>
                <a:gd name="connsiteX81" fmla="*/ 0 w 1533229"/>
                <a:gd name="connsiteY81" fmla="*/ 72766 h 273031"/>
                <a:gd name="connsiteX82" fmla="*/ 72766 w 1533229"/>
                <a:gd name="connsiteY82" fmla="*/ 72766 h 273031"/>
                <a:gd name="connsiteX83" fmla="*/ 72766 w 1533229"/>
                <a:gd name="connsiteY83" fmla="*/ 0 h 2730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  <a:cxn ang="0">
                  <a:pos x="connsiteX66" y="connsiteY66"/>
                </a:cxn>
                <a:cxn ang="0">
                  <a:pos x="connsiteX67" y="connsiteY67"/>
                </a:cxn>
                <a:cxn ang="0">
                  <a:pos x="connsiteX68" y="connsiteY68"/>
                </a:cxn>
                <a:cxn ang="0">
                  <a:pos x="connsiteX69" y="connsiteY69"/>
                </a:cxn>
                <a:cxn ang="0">
                  <a:pos x="connsiteX70" y="connsiteY70"/>
                </a:cxn>
                <a:cxn ang="0">
                  <a:pos x="connsiteX71" y="connsiteY71"/>
                </a:cxn>
                <a:cxn ang="0">
                  <a:pos x="connsiteX72" y="connsiteY72"/>
                </a:cxn>
                <a:cxn ang="0">
                  <a:pos x="connsiteX73" y="connsiteY73"/>
                </a:cxn>
                <a:cxn ang="0">
                  <a:pos x="connsiteX74" y="connsiteY74"/>
                </a:cxn>
                <a:cxn ang="0">
                  <a:pos x="connsiteX75" y="connsiteY75"/>
                </a:cxn>
                <a:cxn ang="0">
                  <a:pos x="connsiteX76" y="connsiteY76"/>
                </a:cxn>
                <a:cxn ang="0">
                  <a:pos x="connsiteX77" y="connsiteY77"/>
                </a:cxn>
                <a:cxn ang="0">
                  <a:pos x="connsiteX78" y="connsiteY78"/>
                </a:cxn>
                <a:cxn ang="0">
                  <a:pos x="connsiteX79" y="connsiteY79"/>
                </a:cxn>
                <a:cxn ang="0">
                  <a:pos x="connsiteX80" y="connsiteY80"/>
                </a:cxn>
                <a:cxn ang="0">
                  <a:pos x="connsiteX81" y="connsiteY81"/>
                </a:cxn>
                <a:cxn ang="0">
                  <a:pos x="connsiteX82" y="connsiteY82"/>
                </a:cxn>
                <a:cxn ang="0">
                  <a:pos x="connsiteX83" y="connsiteY83"/>
                </a:cxn>
              </a:cxnLst>
              <a:rect l="l" t="t" r="r" b="b"/>
              <a:pathLst>
                <a:path w="1533229" h="273031">
                  <a:moveTo>
                    <a:pt x="358677" y="169357"/>
                  </a:moveTo>
                  <a:lnTo>
                    <a:pt x="358677" y="269168"/>
                  </a:lnTo>
                  <a:lnTo>
                    <a:pt x="285267" y="269168"/>
                  </a:lnTo>
                  <a:lnTo>
                    <a:pt x="285267" y="198978"/>
                  </a:lnTo>
                  <a:cubicBezTo>
                    <a:pt x="285267" y="167425"/>
                    <a:pt x="274964" y="154546"/>
                    <a:pt x="242123" y="154546"/>
                  </a:cubicBezTo>
                  <a:cubicBezTo>
                    <a:pt x="220229" y="154546"/>
                    <a:pt x="197691" y="164206"/>
                    <a:pt x="183524" y="177728"/>
                  </a:cubicBezTo>
                  <a:lnTo>
                    <a:pt x="183524" y="269812"/>
                  </a:lnTo>
                  <a:lnTo>
                    <a:pt x="110758" y="269812"/>
                  </a:lnTo>
                  <a:lnTo>
                    <a:pt x="110758" y="92084"/>
                  </a:lnTo>
                  <a:lnTo>
                    <a:pt x="183524" y="92084"/>
                  </a:lnTo>
                  <a:lnTo>
                    <a:pt x="183524" y="117842"/>
                  </a:lnTo>
                  <a:cubicBezTo>
                    <a:pt x="205418" y="102387"/>
                    <a:pt x="233108" y="90152"/>
                    <a:pt x="271744" y="90152"/>
                  </a:cubicBezTo>
                  <a:cubicBezTo>
                    <a:pt x="312957" y="90152"/>
                    <a:pt x="358677" y="103675"/>
                    <a:pt x="358677" y="169357"/>
                  </a:cubicBezTo>
                  <a:close/>
                  <a:moveTo>
                    <a:pt x="765005" y="36705"/>
                  </a:moveTo>
                  <a:lnTo>
                    <a:pt x="692239" y="36705"/>
                  </a:lnTo>
                  <a:lnTo>
                    <a:pt x="692239" y="92084"/>
                  </a:lnTo>
                  <a:lnTo>
                    <a:pt x="652959" y="92084"/>
                  </a:lnTo>
                  <a:lnTo>
                    <a:pt x="652959" y="151327"/>
                  </a:lnTo>
                  <a:lnTo>
                    <a:pt x="692239" y="151327"/>
                  </a:lnTo>
                  <a:lnTo>
                    <a:pt x="692239" y="269168"/>
                  </a:lnTo>
                  <a:lnTo>
                    <a:pt x="838415" y="269168"/>
                  </a:lnTo>
                  <a:lnTo>
                    <a:pt x="838415" y="209926"/>
                  </a:lnTo>
                  <a:lnTo>
                    <a:pt x="765649" y="209926"/>
                  </a:lnTo>
                  <a:lnTo>
                    <a:pt x="765649" y="151327"/>
                  </a:lnTo>
                  <a:lnTo>
                    <a:pt x="838415" y="151327"/>
                  </a:lnTo>
                  <a:lnTo>
                    <a:pt x="838415" y="92084"/>
                  </a:lnTo>
                  <a:lnTo>
                    <a:pt x="765649" y="92084"/>
                  </a:lnTo>
                  <a:lnTo>
                    <a:pt x="765649" y="36705"/>
                  </a:lnTo>
                  <a:close/>
                  <a:moveTo>
                    <a:pt x="632997" y="192539"/>
                  </a:moveTo>
                  <a:lnTo>
                    <a:pt x="462352" y="192539"/>
                  </a:lnTo>
                  <a:cubicBezTo>
                    <a:pt x="468147" y="211857"/>
                    <a:pt x="488109" y="216365"/>
                    <a:pt x="508072" y="216365"/>
                  </a:cubicBezTo>
                  <a:cubicBezTo>
                    <a:pt x="527390" y="216365"/>
                    <a:pt x="538337" y="215077"/>
                    <a:pt x="548640" y="209926"/>
                  </a:cubicBezTo>
                  <a:lnTo>
                    <a:pt x="627845" y="209926"/>
                  </a:lnTo>
                  <a:cubicBezTo>
                    <a:pt x="616254" y="252426"/>
                    <a:pt x="577617" y="273032"/>
                    <a:pt x="508072" y="273032"/>
                  </a:cubicBezTo>
                  <a:cubicBezTo>
                    <a:pt x="437882" y="273032"/>
                    <a:pt x="388942" y="246630"/>
                    <a:pt x="388942" y="180304"/>
                  </a:cubicBezTo>
                  <a:cubicBezTo>
                    <a:pt x="388942" y="113978"/>
                    <a:pt x="437882" y="87576"/>
                    <a:pt x="511291" y="87576"/>
                  </a:cubicBezTo>
                  <a:cubicBezTo>
                    <a:pt x="585345" y="87576"/>
                    <a:pt x="632997" y="113978"/>
                    <a:pt x="632997" y="192539"/>
                  </a:cubicBezTo>
                  <a:close/>
                  <a:moveTo>
                    <a:pt x="556367" y="152615"/>
                  </a:moveTo>
                  <a:cubicBezTo>
                    <a:pt x="547996" y="140380"/>
                    <a:pt x="529966" y="135228"/>
                    <a:pt x="510647" y="135228"/>
                  </a:cubicBezTo>
                  <a:cubicBezTo>
                    <a:pt x="491329" y="135228"/>
                    <a:pt x="473299" y="141024"/>
                    <a:pt x="465571" y="152615"/>
                  </a:cubicBezTo>
                  <a:lnTo>
                    <a:pt x="556367" y="152615"/>
                  </a:lnTo>
                  <a:close/>
                  <a:moveTo>
                    <a:pt x="1041901" y="186744"/>
                  </a:moveTo>
                  <a:cubicBezTo>
                    <a:pt x="1028378" y="199622"/>
                    <a:pt x="1006484" y="208638"/>
                    <a:pt x="985878" y="208638"/>
                  </a:cubicBezTo>
                  <a:cubicBezTo>
                    <a:pt x="954325" y="208638"/>
                    <a:pt x="943377" y="195759"/>
                    <a:pt x="943377" y="165493"/>
                  </a:cubicBezTo>
                  <a:lnTo>
                    <a:pt x="943377" y="92084"/>
                  </a:lnTo>
                  <a:lnTo>
                    <a:pt x="870612" y="92084"/>
                  </a:lnTo>
                  <a:lnTo>
                    <a:pt x="870612" y="194471"/>
                  </a:lnTo>
                  <a:cubicBezTo>
                    <a:pt x="870612" y="257577"/>
                    <a:pt x="918264" y="269812"/>
                    <a:pt x="957544" y="269812"/>
                  </a:cubicBezTo>
                  <a:cubicBezTo>
                    <a:pt x="994249" y="269812"/>
                    <a:pt x="1021295" y="258221"/>
                    <a:pt x="1041901" y="243411"/>
                  </a:cubicBezTo>
                  <a:lnTo>
                    <a:pt x="1041901" y="268524"/>
                  </a:lnTo>
                  <a:lnTo>
                    <a:pt x="1114667" y="268524"/>
                  </a:lnTo>
                  <a:lnTo>
                    <a:pt x="1114667" y="91440"/>
                  </a:lnTo>
                  <a:lnTo>
                    <a:pt x="1041901" y="91440"/>
                  </a:lnTo>
                  <a:lnTo>
                    <a:pt x="1041901" y="186744"/>
                  </a:lnTo>
                  <a:close/>
                  <a:moveTo>
                    <a:pt x="1457888" y="89508"/>
                  </a:moveTo>
                  <a:cubicBezTo>
                    <a:pt x="1414744" y="89508"/>
                    <a:pt x="1388987" y="103031"/>
                    <a:pt x="1371600" y="123637"/>
                  </a:cubicBezTo>
                  <a:cubicBezTo>
                    <a:pt x="1357433" y="97879"/>
                    <a:pt x="1327168" y="89508"/>
                    <a:pt x="1305274" y="89508"/>
                  </a:cubicBezTo>
                  <a:cubicBezTo>
                    <a:pt x="1262130" y="89508"/>
                    <a:pt x="1241523" y="106895"/>
                    <a:pt x="1225425" y="121705"/>
                  </a:cubicBezTo>
                  <a:lnTo>
                    <a:pt x="1225425" y="92084"/>
                  </a:lnTo>
                  <a:lnTo>
                    <a:pt x="1152659" y="92084"/>
                  </a:lnTo>
                  <a:lnTo>
                    <a:pt x="1152659" y="269168"/>
                  </a:lnTo>
                  <a:lnTo>
                    <a:pt x="1225425" y="269168"/>
                  </a:lnTo>
                  <a:lnTo>
                    <a:pt x="1225425" y="173865"/>
                  </a:lnTo>
                  <a:cubicBezTo>
                    <a:pt x="1240236" y="159054"/>
                    <a:pt x="1255690" y="151327"/>
                    <a:pt x="1273721" y="151327"/>
                  </a:cubicBezTo>
                  <a:cubicBezTo>
                    <a:pt x="1299478" y="151327"/>
                    <a:pt x="1307850" y="164206"/>
                    <a:pt x="1307850" y="194471"/>
                  </a:cubicBezTo>
                  <a:lnTo>
                    <a:pt x="1307850" y="269168"/>
                  </a:lnTo>
                  <a:lnTo>
                    <a:pt x="1380615" y="269168"/>
                  </a:lnTo>
                  <a:lnTo>
                    <a:pt x="1380615" y="171933"/>
                  </a:lnTo>
                  <a:cubicBezTo>
                    <a:pt x="1395426" y="157122"/>
                    <a:pt x="1408305" y="151327"/>
                    <a:pt x="1426335" y="151327"/>
                  </a:cubicBezTo>
                  <a:cubicBezTo>
                    <a:pt x="1452093" y="151327"/>
                    <a:pt x="1460464" y="164206"/>
                    <a:pt x="1460464" y="194471"/>
                  </a:cubicBezTo>
                  <a:lnTo>
                    <a:pt x="1460464" y="269168"/>
                  </a:lnTo>
                  <a:lnTo>
                    <a:pt x="1533230" y="269168"/>
                  </a:lnTo>
                  <a:lnTo>
                    <a:pt x="1533230" y="162918"/>
                  </a:lnTo>
                  <a:cubicBezTo>
                    <a:pt x="1533230" y="101743"/>
                    <a:pt x="1488798" y="89508"/>
                    <a:pt x="1457888" y="89508"/>
                  </a:cubicBezTo>
                  <a:close/>
                  <a:moveTo>
                    <a:pt x="0" y="92084"/>
                  </a:moveTo>
                  <a:lnTo>
                    <a:pt x="0" y="269168"/>
                  </a:lnTo>
                  <a:lnTo>
                    <a:pt x="72766" y="269168"/>
                  </a:lnTo>
                  <a:lnTo>
                    <a:pt x="72766" y="92084"/>
                  </a:lnTo>
                  <a:lnTo>
                    <a:pt x="0" y="92084"/>
                  </a:lnTo>
                  <a:close/>
                  <a:moveTo>
                    <a:pt x="72766" y="0"/>
                  </a:moveTo>
                  <a:lnTo>
                    <a:pt x="0" y="0"/>
                  </a:lnTo>
                  <a:lnTo>
                    <a:pt x="0" y="72766"/>
                  </a:lnTo>
                  <a:lnTo>
                    <a:pt x="72766" y="72766"/>
                  </a:lnTo>
                  <a:lnTo>
                    <a:pt x="72766" y="0"/>
                  </a:lnTo>
                  <a:close/>
                </a:path>
              </a:pathLst>
            </a:custGeom>
            <a:solidFill>
              <a:srgbClr val="232D4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  <xdr:sp macro="" textlink="">
          <xdr:nvSpPr>
            <xdr:cNvPr id="16" name="Forme libre : forme 20">
              <a:extLst>
                <a:ext uri="{FF2B5EF4-FFF2-40B4-BE49-F238E27FC236}">
                  <a16:creationId xmlns:a16="http://schemas.microsoft.com/office/drawing/2014/main" id="{F90D80FE-7A01-45B1-A058-67E0F94C79EF}"/>
                </a:ext>
              </a:extLst>
            </xdr:cNvPr>
            <xdr:cNvSpPr/>
          </xdr:nvSpPr>
          <xdr:spPr>
            <a:xfrm>
              <a:off x="15119439" y="697487"/>
              <a:ext cx="218296" cy="218940"/>
            </a:xfrm>
            <a:custGeom>
              <a:avLst/>
              <a:gdLst>
                <a:gd name="connsiteX0" fmla="*/ 72766 w 218296"/>
                <a:gd name="connsiteY0" fmla="*/ 0 h 218940"/>
                <a:gd name="connsiteX1" fmla="*/ 72766 w 218296"/>
                <a:gd name="connsiteY1" fmla="*/ 72766 h 218940"/>
                <a:gd name="connsiteX2" fmla="*/ 145531 w 218296"/>
                <a:gd name="connsiteY2" fmla="*/ 72766 h 218940"/>
                <a:gd name="connsiteX3" fmla="*/ 145531 w 218296"/>
                <a:gd name="connsiteY3" fmla="*/ 145531 h 218940"/>
                <a:gd name="connsiteX4" fmla="*/ 218297 w 218296"/>
                <a:gd name="connsiteY4" fmla="*/ 145531 h 218940"/>
                <a:gd name="connsiteX5" fmla="*/ 218297 w 218296"/>
                <a:gd name="connsiteY5" fmla="*/ 0 h 218940"/>
                <a:gd name="connsiteX6" fmla="*/ 72766 w 218296"/>
                <a:gd name="connsiteY6" fmla="*/ 0 h 218940"/>
                <a:gd name="connsiteX7" fmla="*/ 72766 w 218296"/>
                <a:gd name="connsiteY7" fmla="*/ 146175 h 218940"/>
                <a:gd name="connsiteX8" fmla="*/ 0 w 218296"/>
                <a:gd name="connsiteY8" fmla="*/ 146175 h 218940"/>
                <a:gd name="connsiteX9" fmla="*/ 0 w 218296"/>
                <a:gd name="connsiteY9" fmla="*/ 218941 h 218940"/>
                <a:gd name="connsiteX10" fmla="*/ 72766 w 218296"/>
                <a:gd name="connsiteY10" fmla="*/ 218941 h 218940"/>
                <a:gd name="connsiteX11" fmla="*/ 72766 w 218296"/>
                <a:gd name="connsiteY11" fmla="*/ 146175 h 2189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218296" h="218940">
                  <a:moveTo>
                    <a:pt x="72766" y="0"/>
                  </a:moveTo>
                  <a:lnTo>
                    <a:pt x="72766" y="72766"/>
                  </a:lnTo>
                  <a:lnTo>
                    <a:pt x="145531" y="72766"/>
                  </a:lnTo>
                  <a:lnTo>
                    <a:pt x="145531" y="145531"/>
                  </a:lnTo>
                  <a:lnTo>
                    <a:pt x="218297" y="145531"/>
                  </a:lnTo>
                  <a:lnTo>
                    <a:pt x="218297" y="0"/>
                  </a:lnTo>
                  <a:lnTo>
                    <a:pt x="72766" y="0"/>
                  </a:lnTo>
                  <a:close/>
                  <a:moveTo>
                    <a:pt x="72766" y="146175"/>
                  </a:moveTo>
                  <a:lnTo>
                    <a:pt x="0" y="146175"/>
                  </a:lnTo>
                  <a:lnTo>
                    <a:pt x="0" y="218941"/>
                  </a:lnTo>
                  <a:lnTo>
                    <a:pt x="72766" y="218941"/>
                  </a:lnTo>
                  <a:lnTo>
                    <a:pt x="72766" y="146175"/>
                  </a:lnTo>
                  <a:close/>
                </a:path>
              </a:pathLst>
            </a:custGeom>
            <a:solidFill>
              <a:srgbClr val="00AA9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306294</xdr:colOff>
      <xdr:row>1</xdr:row>
      <xdr:rowOff>127000</xdr:rowOff>
    </xdr:from>
    <xdr:to>
      <xdr:col>1</xdr:col>
      <xdr:colOff>1755357</xdr:colOff>
      <xdr:row>4</xdr:row>
      <xdr:rowOff>13527</xdr:rowOff>
    </xdr:to>
    <xdr:grpSp>
      <xdr:nvGrpSpPr>
        <xdr:cNvPr id="7" name="Graphique 9">
          <a:extLst>
            <a:ext uri="{FF2B5EF4-FFF2-40B4-BE49-F238E27FC236}">
              <a16:creationId xmlns:a16="http://schemas.microsoft.com/office/drawing/2014/main" id="{07A21BA0-985B-4A15-84C5-908259466E67}"/>
            </a:ext>
          </a:extLst>
        </xdr:cNvPr>
        <xdr:cNvGrpSpPr>
          <a:grpSpLocks noChangeAspect="1"/>
        </xdr:cNvGrpSpPr>
      </xdr:nvGrpSpPr>
      <xdr:grpSpPr>
        <a:xfrm>
          <a:off x="306294" y="307975"/>
          <a:ext cx="1791963" cy="581852"/>
          <a:chOff x="13512800" y="647260"/>
          <a:chExt cx="1824935" cy="432728"/>
        </a:xfrm>
      </xdr:grpSpPr>
      <xdr:sp macro="" textlink="">
        <xdr:nvSpPr>
          <xdr:cNvPr id="8" name="Forme libre : forme 17">
            <a:extLst>
              <a:ext uri="{FF2B5EF4-FFF2-40B4-BE49-F238E27FC236}">
                <a16:creationId xmlns:a16="http://schemas.microsoft.com/office/drawing/2014/main" id="{8802D817-F7DB-46EB-8329-8B49F3922F06}"/>
              </a:ext>
            </a:extLst>
          </xdr:cNvPr>
          <xdr:cNvSpPr/>
        </xdr:nvSpPr>
        <xdr:spPr>
          <a:xfrm>
            <a:off x="13798067" y="988549"/>
            <a:ext cx="1254402" cy="91439"/>
          </a:xfrm>
          <a:custGeom>
            <a:avLst/>
            <a:gdLst>
              <a:gd name="connsiteX0" fmla="*/ 70834 w 1254402"/>
              <a:gd name="connsiteY0" fmla="*/ 31553 h 91439"/>
              <a:gd name="connsiteX1" fmla="*/ 47652 w 1254402"/>
              <a:gd name="connsiteY1" fmla="*/ 53447 h 91439"/>
              <a:gd name="connsiteX2" fmla="*/ 15455 w 1254402"/>
              <a:gd name="connsiteY2" fmla="*/ 53447 h 91439"/>
              <a:gd name="connsiteX3" fmla="*/ 15455 w 1254402"/>
              <a:gd name="connsiteY3" fmla="*/ 69546 h 91439"/>
              <a:gd name="connsiteX4" fmla="*/ 0 w 1254402"/>
              <a:gd name="connsiteY4" fmla="*/ 69546 h 91439"/>
              <a:gd name="connsiteX5" fmla="*/ 0 w 1254402"/>
              <a:gd name="connsiteY5" fmla="*/ 9015 h 91439"/>
              <a:gd name="connsiteX6" fmla="*/ 47652 w 1254402"/>
              <a:gd name="connsiteY6" fmla="*/ 9015 h 91439"/>
              <a:gd name="connsiteX7" fmla="*/ 70834 w 1254402"/>
              <a:gd name="connsiteY7" fmla="*/ 31553 h 91439"/>
              <a:gd name="connsiteX8" fmla="*/ 55379 w 1254402"/>
              <a:gd name="connsiteY8" fmla="*/ 31553 h 91439"/>
              <a:gd name="connsiteX9" fmla="*/ 43788 w 1254402"/>
              <a:gd name="connsiteY9" fmla="*/ 22538 h 91439"/>
              <a:gd name="connsiteX10" fmla="*/ 16099 w 1254402"/>
              <a:gd name="connsiteY10" fmla="*/ 22538 h 91439"/>
              <a:gd name="connsiteX11" fmla="*/ 16099 w 1254402"/>
              <a:gd name="connsiteY11" fmla="*/ 40568 h 91439"/>
              <a:gd name="connsiteX12" fmla="*/ 43144 w 1254402"/>
              <a:gd name="connsiteY12" fmla="*/ 40568 h 91439"/>
              <a:gd name="connsiteX13" fmla="*/ 55379 w 1254402"/>
              <a:gd name="connsiteY13" fmla="*/ 31553 h 91439"/>
              <a:gd name="connsiteX14" fmla="*/ 79849 w 1254402"/>
              <a:gd name="connsiteY14" fmla="*/ 44432 h 91439"/>
              <a:gd name="connsiteX15" fmla="*/ 115266 w 1254402"/>
              <a:gd name="connsiteY15" fmla="*/ 18030 h 91439"/>
              <a:gd name="connsiteX16" fmla="*/ 150683 w 1254402"/>
              <a:gd name="connsiteY16" fmla="*/ 44432 h 91439"/>
              <a:gd name="connsiteX17" fmla="*/ 115266 w 1254402"/>
              <a:gd name="connsiteY17" fmla="*/ 70834 h 91439"/>
              <a:gd name="connsiteX18" fmla="*/ 79849 w 1254402"/>
              <a:gd name="connsiteY18" fmla="*/ 44432 h 91439"/>
              <a:gd name="connsiteX19" fmla="*/ 135228 w 1254402"/>
              <a:gd name="connsiteY19" fmla="*/ 44432 h 91439"/>
              <a:gd name="connsiteX20" fmla="*/ 114622 w 1254402"/>
              <a:gd name="connsiteY20" fmla="*/ 30265 h 91439"/>
              <a:gd name="connsiteX21" fmla="*/ 94016 w 1254402"/>
              <a:gd name="connsiteY21" fmla="*/ 44432 h 91439"/>
              <a:gd name="connsiteX22" fmla="*/ 114622 w 1254402"/>
              <a:gd name="connsiteY22" fmla="*/ 58599 h 91439"/>
              <a:gd name="connsiteX23" fmla="*/ 135228 w 1254402"/>
              <a:gd name="connsiteY23" fmla="*/ 44432 h 91439"/>
              <a:gd name="connsiteX24" fmla="*/ 173221 w 1254402"/>
              <a:gd name="connsiteY24" fmla="*/ 52159 h 91439"/>
              <a:gd name="connsiteX25" fmla="*/ 195115 w 1254402"/>
              <a:gd name="connsiteY25" fmla="*/ 59887 h 91439"/>
              <a:gd name="connsiteX26" fmla="*/ 213789 w 1254402"/>
              <a:gd name="connsiteY26" fmla="*/ 54735 h 91439"/>
              <a:gd name="connsiteX27" fmla="*/ 193827 w 1254402"/>
              <a:gd name="connsiteY27" fmla="*/ 49584 h 91439"/>
              <a:gd name="connsiteX28" fmla="*/ 160342 w 1254402"/>
              <a:gd name="connsiteY28" fmla="*/ 34129 h 91439"/>
              <a:gd name="connsiteX29" fmla="*/ 193827 w 1254402"/>
              <a:gd name="connsiteY29" fmla="*/ 18674 h 91439"/>
              <a:gd name="connsiteX30" fmla="*/ 226668 w 1254402"/>
              <a:gd name="connsiteY30" fmla="*/ 35417 h 91439"/>
              <a:gd name="connsiteX31" fmla="*/ 211857 w 1254402"/>
              <a:gd name="connsiteY31" fmla="*/ 35417 h 91439"/>
              <a:gd name="connsiteX32" fmla="*/ 192539 w 1254402"/>
              <a:gd name="connsiteY32" fmla="*/ 30265 h 91439"/>
              <a:gd name="connsiteX33" fmla="*/ 174509 w 1254402"/>
              <a:gd name="connsiteY33" fmla="*/ 34129 h 91439"/>
              <a:gd name="connsiteX34" fmla="*/ 194471 w 1254402"/>
              <a:gd name="connsiteY34" fmla="*/ 39281 h 91439"/>
              <a:gd name="connsiteX35" fmla="*/ 227956 w 1254402"/>
              <a:gd name="connsiteY35" fmla="*/ 54735 h 91439"/>
              <a:gd name="connsiteX36" fmla="*/ 195759 w 1254402"/>
              <a:gd name="connsiteY36" fmla="*/ 71478 h 91439"/>
              <a:gd name="connsiteX37" fmla="*/ 158410 w 1254402"/>
              <a:gd name="connsiteY37" fmla="*/ 52803 h 91439"/>
              <a:gd name="connsiteX38" fmla="*/ 173221 w 1254402"/>
              <a:gd name="connsiteY38" fmla="*/ 52803 h 91439"/>
              <a:gd name="connsiteX39" fmla="*/ 254358 w 1254402"/>
              <a:gd name="connsiteY39" fmla="*/ 644 h 91439"/>
              <a:gd name="connsiteX40" fmla="*/ 254358 w 1254402"/>
              <a:gd name="connsiteY40" fmla="*/ 13523 h 91439"/>
              <a:gd name="connsiteX41" fmla="*/ 239547 w 1254402"/>
              <a:gd name="connsiteY41" fmla="*/ 13523 h 91439"/>
              <a:gd name="connsiteX42" fmla="*/ 239547 w 1254402"/>
              <a:gd name="connsiteY42" fmla="*/ 644 h 91439"/>
              <a:gd name="connsiteX43" fmla="*/ 254358 w 1254402"/>
              <a:gd name="connsiteY43" fmla="*/ 644 h 91439"/>
              <a:gd name="connsiteX44" fmla="*/ 254358 w 1254402"/>
              <a:gd name="connsiteY44" fmla="*/ 19318 h 91439"/>
              <a:gd name="connsiteX45" fmla="*/ 254358 w 1254402"/>
              <a:gd name="connsiteY45" fmla="*/ 70190 h 91439"/>
              <a:gd name="connsiteX46" fmla="*/ 239547 w 1254402"/>
              <a:gd name="connsiteY46" fmla="*/ 70190 h 91439"/>
              <a:gd name="connsiteX47" fmla="*/ 239547 w 1254402"/>
              <a:gd name="connsiteY47" fmla="*/ 19318 h 91439"/>
              <a:gd name="connsiteX48" fmla="*/ 254358 w 1254402"/>
              <a:gd name="connsiteY48" fmla="*/ 19318 h 91439"/>
              <a:gd name="connsiteX49" fmla="*/ 292994 w 1254402"/>
              <a:gd name="connsiteY49" fmla="*/ 31553 h 91439"/>
              <a:gd name="connsiteX50" fmla="*/ 292994 w 1254402"/>
              <a:gd name="connsiteY50" fmla="*/ 46364 h 91439"/>
              <a:gd name="connsiteX51" fmla="*/ 303941 w 1254402"/>
              <a:gd name="connsiteY51" fmla="*/ 58599 h 91439"/>
              <a:gd name="connsiteX52" fmla="*/ 316820 w 1254402"/>
              <a:gd name="connsiteY52" fmla="*/ 57955 h 91439"/>
              <a:gd name="connsiteX53" fmla="*/ 316820 w 1254402"/>
              <a:gd name="connsiteY53" fmla="*/ 69546 h 91439"/>
              <a:gd name="connsiteX54" fmla="*/ 299434 w 1254402"/>
              <a:gd name="connsiteY54" fmla="*/ 70834 h 91439"/>
              <a:gd name="connsiteX55" fmla="*/ 278184 w 1254402"/>
              <a:gd name="connsiteY55" fmla="*/ 54735 h 91439"/>
              <a:gd name="connsiteX56" fmla="*/ 278184 w 1254402"/>
              <a:gd name="connsiteY56" fmla="*/ 31553 h 91439"/>
              <a:gd name="connsiteX57" fmla="*/ 264661 w 1254402"/>
              <a:gd name="connsiteY57" fmla="*/ 31553 h 91439"/>
              <a:gd name="connsiteX58" fmla="*/ 264661 w 1254402"/>
              <a:gd name="connsiteY58" fmla="*/ 19318 h 91439"/>
              <a:gd name="connsiteX59" fmla="*/ 278184 w 1254402"/>
              <a:gd name="connsiteY59" fmla="*/ 19318 h 91439"/>
              <a:gd name="connsiteX60" fmla="*/ 278184 w 1254402"/>
              <a:gd name="connsiteY60" fmla="*/ 9015 h 91439"/>
              <a:gd name="connsiteX61" fmla="*/ 292994 w 1254402"/>
              <a:gd name="connsiteY61" fmla="*/ 4508 h 91439"/>
              <a:gd name="connsiteX62" fmla="*/ 292994 w 1254402"/>
              <a:gd name="connsiteY62" fmla="*/ 19318 h 91439"/>
              <a:gd name="connsiteX63" fmla="*/ 316820 w 1254402"/>
              <a:gd name="connsiteY63" fmla="*/ 19318 h 91439"/>
              <a:gd name="connsiteX64" fmla="*/ 316820 w 1254402"/>
              <a:gd name="connsiteY64" fmla="*/ 31553 h 91439"/>
              <a:gd name="connsiteX65" fmla="*/ 292994 w 1254402"/>
              <a:gd name="connsiteY65" fmla="*/ 31553 h 91439"/>
              <a:gd name="connsiteX66" fmla="*/ 342578 w 1254402"/>
              <a:gd name="connsiteY66" fmla="*/ 644 h 91439"/>
              <a:gd name="connsiteX67" fmla="*/ 342578 w 1254402"/>
              <a:gd name="connsiteY67" fmla="*/ 13523 h 91439"/>
              <a:gd name="connsiteX68" fmla="*/ 327767 w 1254402"/>
              <a:gd name="connsiteY68" fmla="*/ 13523 h 91439"/>
              <a:gd name="connsiteX69" fmla="*/ 327767 w 1254402"/>
              <a:gd name="connsiteY69" fmla="*/ 644 h 91439"/>
              <a:gd name="connsiteX70" fmla="*/ 342578 w 1254402"/>
              <a:gd name="connsiteY70" fmla="*/ 644 h 91439"/>
              <a:gd name="connsiteX71" fmla="*/ 342578 w 1254402"/>
              <a:gd name="connsiteY71" fmla="*/ 19318 h 91439"/>
              <a:gd name="connsiteX72" fmla="*/ 342578 w 1254402"/>
              <a:gd name="connsiteY72" fmla="*/ 70190 h 91439"/>
              <a:gd name="connsiteX73" fmla="*/ 327767 w 1254402"/>
              <a:gd name="connsiteY73" fmla="*/ 70190 h 91439"/>
              <a:gd name="connsiteX74" fmla="*/ 327767 w 1254402"/>
              <a:gd name="connsiteY74" fmla="*/ 19318 h 91439"/>
              <a:gd name="connsiteX75" fmla="*/ 342578 w 1254402"/>
              <a:gd name="connsiteY75" fmla="*/ 19318 h 91439"/>
              <a:gd name="connsiteX76" fmla="*/ 424359 w 1254402"/>
              <a:gd name="connsiteY76" fmla="*/ 19318 h 91439"/>
              <a:gd name="connsiteX77" fmla="*/ 398601 w 1254402"/>
              <a:gd name="connsiteY77" fmla="*/ 70190 h 91439"/>
              <a:gd name="connsiteX78" fmla="*/ 377995 w 1254402"/>
              <a:gd name="connsiteY78" fmla="*/ 70190 h 91439"/>
              <a:gd name="connsiteX79" fmla="*/ 352237 w 1254402"/>
              <a:gd name="connsiteY79" fmla="*/ 19318 h 91439"/>
              <a:gd name="connsiteX80" fmla="*/ 368336 w 1254402"/>
              <a:gd name="connsiteY80" fmla="*/ 19318 h 91439"/>
              <a:gd name="connsiteX81" fmla="*/ 388298 w 1254402"/>
              <a:gd name="connsiteY81" fmla="*/ 59887 h 91439"/>
              <a:gd name="connsiteX82" fmla="*/ 408260 w 1254402"/>
              <a:gd name="connsiteY82" fmla="*/ 19318 h 91439"/>
              <a:gd name="connsiteX83" fmla="*/ 424359 w 1254402"/>
              <a:gd name="connsiteY83" fmla="*/ 19318 h 91439"/>
              <a:gd name="connsiteX84" fmla="*/ 481670 w 1254402"/>
              <a:gd name="connsiteY84" fmla="*/ 51515 h 91439"/>
              <a:gd name="connsiteX85" fmla="*/ 496481 w 1254402"/>
              <a:gd name="connsiteY85" fmla="*/ 51515 h 91439"/>
              <a:gd name="connsiteX86" fmla="*/ 461708 w 1254402"/>
              <a:gd name="connsiteY86" fmla="*/ 70834 h 91439"/>
              <a:gd name="connsiteX87" fmla="*/ 427579 w 1254402"/>
              <a:gd name="connsiteY87" fmla="*/ 44432 h 91439"/>
              <a:gd name="connsiteX88" fmla="*/ 462995 w 1254402"/>
              <a:gd name="connsiteY88" fmla="*/ 18030 h 91439"/>
              <a:gd name="connsiteX89" fmla="*/ 497768 w 1254402"/>
              <a:gd name="connsiteY89" fmla="*/ 47652 h 91439"/>
              <a:gd name="connsiteX90" fmla="*/ 442389 w 1254402"/>
              <a:gd name="connsiteY90" fmla="*/ 47652 h 91439"/>
              <a:gd name="connsiteX91" fmla="*/ 461708 w 1254402"/>
              <a:gd name="connsiteY91" fmla="*/ 58599 h 91439"/>
              <a:gd name="connsiteX92" fmla="*/ 481670 w 1254402"/>
              <a:gd name="connsiteY92" fmla="*/ 51515 h 91439"/>
              <a:gd name="connsiteX93" fmla="*/ 442389 w 1254402"/>
              <a:gd name="connsiteY93" fmla="*/ 38637 h 91439"/>
              <a:gd name="connsiteX94" fmla="*/ 481026 w 1254402"/>
              <a:gd name="connsiteY94" fmla="*/ 38637 h 91439"/>
              <a:gd name="connsiteX95" fmla="*/ 461708 w 1254402"/>
              <a:gd name="connsiteY95" fmla="*/ 29621 h 91439"/>
              <a:gd name="connsiteX96" fmla="*/ 442389 w 1254402"/>
              <a:gd name="connsiteY96" fmla="*/ 38637 h 91439"/>
              <a:gd name="connsiteX97" fmla="*/ 622694 w 1254402"/>
              <a:gd name="connsiteY97" fmla="*/ 644 h 91439"/>
              <a:gd name="connsiteX98" fmla="*/ 622694 w 1254402"/>
              <a:gd name="connsiteY98" fmla="*/ 69546 h 91439"/>
              <a:gd name="connsiteX99" fmla="*/ 607883 w 1254402"/>
              <a:gd name="connsiteY99" fmla="*/ 69546 h 91439"/>
              <a:gd name="connsiteX100" fmla="*/ 607883 w 1254402"/>
              <a:gd name="connsiteY100" fmla="*/ 61819 h 91439"/>
              <a:gd name="connsiteX101" fmla="*/ 582769 w 1254402"/>
              <a:gd name="connsiteY101" fmla="*/ 70834 h 91439"/>
              <a:gd name="connsiteX102" fmla="*/ 552504 w 1254402"/>
              <a:gd name="connsiteY102" fmla="*/ 44432 h 91439"/>
              <a:gd name="connsiteX103" fmla="*/ 582769 w 1254402"/>
              <a:gd name="connsiteY103" fmla="*/ 18030 h 91439"/>
              <a:gd name="connsiteX104" fmla="*/ 607883 w 1254402"/>
              <a:gd name="connsiteY104" fmla="*/ 27046 h 91439"/>
              <a:gd name="connsiteX105" fmla="*/ 607883 w 1254402"/>
              <a:gd name="connsiteY105" fmla="*/ 644 h 91439"/>
              <a:gd name="connsiteX106" fmla="*/ 622694 w 1254402"/>
              <a:gd name="connsiteY106" fmla="*/ 644 h 91439"/>
              <a:gd name="connsiteX107" fmla="*/ 607883 w 1254402"/>
              <a:gd name="connsiteY107" fmla="*/ 44432 h 91439"/>
              <a:gd name="connsiteX108" fmla="*/ 587277 w 1254402"/>
              <a:gd name="connsiteY108" fmla="*/ 30265 h 91439"/>
              <a:gd name="connsiteX109" fmla="*/ 566670 w 1254402"/>
              <a:gd name="connsiteY109" fmla="*/ 44432 h 91439"/>
              <a:gd name="connsiteX110" fmla="*/ 587277 w 1254402"/>
              <a:gd name="connsiteY110" fmla="*/ 58599 h 91439"/>
              <a:gd name="connsiteX111" fmla="*/ 607883 w 1254402"/>
              <a:gd name="connsiteY111" fmla="*/ 44432 h 91439"/>
              <a:gd name="connsiteX112" fmla="*/ 649739 w 1254402"/>
              <a:gd name="connsiteY112" fmla="*/ 644 h 91439"/>
              <a:gd name="connsiteX113" fmla="*/ 649739 w 1254402"/>
              <a:gd name="connsiteY113" fmla="*/ 13523 h 91439"/>
              <a:gd name="connsiteX114" fmla="*/ 634928 w 1254402"/>
              <a:gd name="connsiteY114" fmla="*/ 13523 h 91439"/>
              <a:gd name="connsiteX115" fmla="*/ 634928 w 1254402"/>
              <a:gd name="connsiteY115" fmla="*/ 644 h 91439"/>
              <a:gd name="connsiteX116" fmla="*/ 649739 w 1254402"/>
              <a:gd name="connsiteY116" fmla="*/ 644 h 91439"/>
              <a:gd name="connsiteX117" fmla="*/ 649739 w 1254402"/>
              <a:gd name="connsiteY117" fmla="*/ 19318 h 91439"/>
              <a:gd name="connsiteX118" fmla="*/ 649739 w 1254402"/>
              <a:gd name="connsiteY118" fmla="*/ 70190 h 91439"/>
              <a:gd name="connsiteX119" fmla="*/ 634928 w 1254402"/>
              <a:gd name="connsiteY119" fmla="*/ 70190 h 91439"/>
              <a:gd name="connsiteX120" fmla="*/ 634928 w 1254402"/>
              <a:gd name="connsiteY120" fmla="*/ 19318 h 91439"/>
              <a:gd name="connsiteX121" fmla="*/ 649739 w 1254402"/>
              <a:gd name="connsiteY121" fmla="*/ 19318 h 91439"/>
              <a:gd name="connsiteX122" fmla="*/ 730876 w 1254402"/>
              <a:gd name="connsiteY122" fmla="*/ 19318 h 91439"/>
              <a:gd name="connsiteX123" fmla="*/ 730876 w 1254402"/>
              <a:gd name="connsiteY123" fmla="*/ 61819 h 91439"/>
              <a:gd name="connsiteX124" fmla="*/ 698035 w 1254402"/>
              <a:gd name="connsiteY124" fmla="*/ 91440 h 91439"/>
              <a:gd name="connsiteX125" fmla="*/ 666482 w 1254402"/>
              <a:gd name="connsiteY125" fmla="*/ 87576 h 91439"/>
              <a:gd name="connsiteX126" fmla="*/ 666482 w 1254402"/>
              <a:gd name="connsiteY126" fmla="*/ 75985 h 91439"/>
              <a:gd name="connsiteX127" fmla="*/ 694815 w 1254402"/>
              <a:gd name="connsiteY127" fmla="*/ 79849 h 91439"/>
              <a:gd name="connsiteX128" fmla="*/ 716065 w 1254402"/>
              <a:gd name="connsiteY128" fmla="*/ 61175 h 91439"/>
              <a:gd name="connsiteX129" fmla="*/ 690308 w 1254402"/>
              <a:gd name="connsiteY129" fmla="*/ 70190 h 91439"/>
              <a:gd name="connsiteX130" fmla="*/ 660686 w 1254402"/>
              <a:gd name="connsiteY130" fmla="*/ 44432 h 91439"/>
              <a:gd name="connsiteX131" fmla="*/ 690308 w 1254402"/>
              <a:gd name="connsiteY131" fmla="*/ 18674 h 91439"/>
              <a:gd name="connsiteX132" fmla="*/ 716065 w 1254402"/>
              <a:gd name="connsiteY132" fmla="*/ 27690 h 91439"/>
              <a:gd name="connsiteX133" fmla="*/ 716065 w 1254402"/>
              <a:gd name="connsiteY133" fmla="*/ 19318 h 91439"/>
              <a:gd name="connsiteX134" fmla="*/ 730876 w 1254402"/>
              <a:gd name="connsiteY134" fmla="*/ 19318 h 91439"/>
              <a:gd name="connsiteX135" fmla="*/ 715421 w 1254402"/>
              <a:gd name="connsiteY135" fmla="*/ 43788 h 91439"/>
              <a:gd name="connsiteX136" fmla="*/ 694815 w 1254402"/>
              <a:gd name="connsiteY136" fmla="*/ 30909 h 91439"/>
              <a:gd name="connsiteX137" fmla="*/ 674209 w 1254402"/>
              <a:gd name="connsiteY137" fmla="*/ 43788 h 91439"/>
              <a:gd name="connsiteX138" fmla="*/ 694815 w 1254402"/>
              <a:gd name="connsiteY138" fmla="*/ 56667 h 91439"/>
              <a:gd name="connsiteX139" fmla="*/ 715421 w 1254402"/>
              <a:gd name="connsiteY139" fmla="*/ 43788 h 91439"/>
              <a:gd name="connsiteX140" fmla="*/ 757278 w 1254402"/>
              <a:gd name="connsiteY140" fmla="*/ 644 h 91439"/>
              <a:gd name="connsiteX141" fmla="*/ 757278 w 1254402"/>
              <a:gd name="connsiteY141" fmla="*/ 13523 h 91439"/>
              <a:gd name="connsiteX142" fmla="*/ 742467 w 1254402"/>
              <a:gd name="connsiteY142" fmla="*/ 13523 h 91439"/>
              <a:gd name="connsiteX143" fmla="*/ 742467 w 1254402"/>
              <a:gd name="connsiteY143" fmla="*/ 644 h 91439"/>
              <a:gd name="connsiteX144" fmla="*/ 757278 w 1254402"/>
              <a:gd name="connsiteY144" fmla="*/ 644 h 91439"/>
              <a:gd name="connsiteX145" fmla="*/ 757278 w 1254402"/>
              <a:gd name="connsiteY145" fmla="*/ 19318 h 91439"/>
              <a:gd name="connsiteX146" fmla="*/ 757278 w 1254402"/>
              <a:gd name="connsiteY146" fmla="*/ 70190 h 91439"/>
              <a:gd name="connsiteX147" fmla="*/ 742467 w 1254402"/>
              <a:gd name="connsiteY147" fmla="*/ 70190 h 91439"/>
              <a:gd name="connsiteX148" fmla="*/ 742467 w 1254402"/>
              <a:gd name="connsiteY148" fmla="*/ 19318 h 91439"/>
              <a:gd name="connsiteX149" fmla="*/ 757278 w 1254402"/>
              <a:gd name="connsiteY149" fmla="*/ 19318 h 91439"/>
              <a:gd name="connsiteX150" fmla="*/ 795914 w 1254402"/>
              <a:gd name="connsiteY150" fmla="*/ 31553 h 91439"/>
              <a:gd name="connsiteX151" fmla="*/ 795914 w 1254402"/>
              <a:gd name="connsiteY151" fmla="*/ 46364 h 91439"/>
              <a:gd name="connsiteX152" fmla="*/ 806861 w 1254402"/>
              <a:gd name="connsiteY152" fmla="*/ 58599 h 91439"/>
              <a:gd name="connsiteX153" fmla="*/ 819740 w 1254402"/>
              <a:gd name="connsiteY153" fmla="*/ 57955 h 91439"/>
              <a:gd name="connsiteX154" fmla="*/ 819740 w 1254402"/>
              <a:gd name="connsiteY154" fmla="*/ 69546 h 91439"/>
              <a:gd name="connsiteX155" fmla="*/ 802354 w 1254402"/>
              <a:gd name="connsiteY155" fmla="*/ 70834 h 91439"/>
              <a:gd name="connsiteX156" fmla="*/ 781104 w 1254402"/>
              <a:gd name="connsiteY156" fmla="*/ 54735 h 91439"/>
              <a:gd name="connsiteX157" fmla="*/ 781104 w 1254402"/>
              <a:gd name="connsiteY157" fmla="*/ 31553 h 91439"/>
              <a:gd name="connsiteX158" fmla="*/ 767581 w 1254402"/>
              <a:gd name="connsiteY158" fmla="*/ 31553 h 91439"/>
              <a:gd name="connsiteX159" fmla="*/ 767581 w 1254402"/>
              <a:gd name="connsiteY159" fmla="*/ 19318 h 91439"/>
              <a:gd name="connsiteX160" fmla="*/ 781104 w 1254402"/>
              <a:gd name="connsiteY160" fmla="*/ 19318 h 91439"/>
              <a:gd name="connsiteX161" fmla="*/ 781104 w 1254402"/>
              <a:gd name="connsiteY161" fmla="*/ 9015 h 91439"/>
              <a:gd name="connsiteX162" fmla="*/ 795914 w 1254402"/>
              <a:gd name="connsiteY162" fmla="*/ 4508 h 91439"/>
              <a:gd name="connsiteX163" fmla="*/ 795914 w 1254402"/>
              <a:gd name="connsiteY163" fmla="*/ 19318 h 91439"/>
              <a:gd name="connsiteX164" fmla="*/ 819740 w 1254402"/>
              <a:gd name="connsiteY164" fmla="*/ 19318 h 91439"/>
              <a:gd name="connsiteX165" fmla="*/ 819740 w 1254402"/>
              <a:gd name="connsiteY165" fmla="*/ 31553 h 91439"/>
              <a:gd name="connsiteX166" fmla="*/ 795914 w 1254402"/>
              <a:gd name="connsiteY166" fmla="*/ 31553 h 91439"/>
              <a:gd name="connsiteX167" fmla="*/ 898301 w 1254402"/>
              <a:gd name="connsiteY167" fmla="*/ 44432 h 91439"/>
              <a:gd name="connsiteX168" fmla="*/ 898301 w 1254402"/>
              <a:gd name="connsiteY168" fmla="*/ 70190 h 91439"/>
              <a:gd name="connsiteX169" fmla="*/ 883491 w 1254402"/>
              <a:gd name="connsiteY169" fmla="*/ 70190 h 91439"/>
              <a:gd name="connsiteX170" fmla="*/ 883491 w 1254402"/>
              <a:gd name="connsiteY170" fmla="*/ 63750 h 91439"/>
              <a:gd name="connsiteX171" fmla="*/ 852581 w 1254402"/>
              <a:gd name="connsiteY171" fmla="*/ 70834 h 91439"/>
              <a:gd name="connsiteX172" fmla="*/ 829400 w 1254402"/>
              <a:gd name="connsiteY172" fmla="*/ 54735 h 91439"/>
              <a:gd name="connsiteX173" fmla="*/ 860309 w 1254402"/>
              <a:gd name="connsiteY173" fmla="*/ 37349 h 91439"/>
              <a:gd name="connsiteX174" fmla="*/ 883491 w 1254402"/>
              <a:gd name="connsiteY174" fmla="*/ 41212 h 91439"/>
              <a:gd name="connsiteX175" fmla="*/ 864172 w 1254402"/>
              <a:gd name="connsiteY175" fmla="*/ 30909 h 91439"/>
              <a:gd name="connsiteX176" fmla="*/ 839059 w 1254402"/>
              <a:gd name="connsiteY176" fmla="*/ 34773 h 91439"/>
              <a:gd name="connsiteX177" fmla="*/ 833907 w 1254402"/>
              <a:gd name="connsiteY177" fmla="*/ 23826 h 91439"/>
              <a:gd name="connsiteX178" fmla="*/ 864816 w 1254402"/>
              <a:gd name="connsiteY178" fmla="*/ 18674 h 91439"/>
              <a:gd name="connsiteX179" fmla="*/ 898301 w 1254402"/>
              <a:gd name="connsiteY179" fmla="*/ 44432 h 91439"/>
              <a:gd name="connsiteX180" fmla="*/ 883491 w 1254402"/>
              <a:gd name="connsiteY180" fmla="*/ 50228 h 91439"/>
              <a:gd name="connsiteX181" fmla="*/ 862241 w 1254402"/>
              <a:gd name="connsiteY181" fmla="*/ 47008 h 91439"/>
              <a:gd name="connsiteX182" fmla="*/ 844854 w 1254402"/>
              <a:gd name="connsiteY182" fmla="*/ 54091 h 91439"/>
              <a:gd name="connsiteX183" fmla="*/ 857733 w 1254402"/>
              <a:gd name="connsiteY183" fmla="*/ 59887 h 91439"/>
              <a:gd name="connsiteX184" fmla="*/ 884135 w 1254402"/>
              <a:gd name="connsiteY184" fmla="*/ 54091 h 91439"/>
              <a:gd name="connsiteX185" fmla="*/ 884135 w 1254402"/>
              <a:gd name="connsiteY185" fmla="*/ 50228 h 91439"/>
              <a:gd name="connsiteX186" fmla="*/ 925347 w 1254402"/>
              <a:gd name="connsiteY186" fmla="*/ 644 h 91439"/>
              <a:gd name="connsiteX187" fmla="*/ 925347 w 1254402"/>
              <a:gd name="connsiteY187" fmla="*/ 69546 h 91439"/>
              <a:gd name="connsiteX188" fmla="*/ 910536 w 1254402"/>
              <a:gd name="connsiteY188" fmla="*/ 69546 h 91439"/>
              <a:gd name="connsiteX189" fmla="*/ 910536 w 1254402"/>
              <a:gd name="connsiteY189" fmla="*/ 644 h 91439"/>
              <a:gd name="connsiteX190" fmla="*/ 925347 w 1254402"/>
              <a:gd name="connsiteY190" fmla="*/ 644 h 91439"/>
              <a:gd name="connsiteX191" fmla="*/ 1009704 w 1254402"/>
              <a:gd name="connsiteY191" fmla="*/ 19318 h 91439"/>
              <a:gd name="connsiteX192" fmla="*/ 1030954 w 1254402"/>
              <a:gd name="connsiteY192" fmla="*/ 19318 h 91439"/>
              <a:gd name="connsiteX193" fmla="*/ 1030954 w 1254402"/>
              <a:gd name="connsiteY193" fmla="*/ 31553 h 91439"/>
              <a:gd name="connsiteX194" fmla="*/ 1009704 w 1254402"/>
              <a:gd name="connsiteY194" fmla="*/ 31553 h 91439"/>
              <a:gd name="connsiteX195" fmla="*/ 1009704 w 1254402"/>
              <a:gd name="connsiteY195" fmla="*/ 70190 h 91439"/>
              <a:gd name="connsiteX196" fmla="*/ 994893 w 1254402"/>
              <a:gd name="connsiteY196" fmla="*/ 70190 h 91439"/>
              <a:gd name="connsiteX197" fmla="*/ 994893 w 1254402"/>
              <a:gd name="connsiteY197" fmla="*/ 31553 h 91439"/>
              <a:gd name="connsiteX198" fmla="*/ 981370 w 1254402"/>
              <a:gd name="connsiteY198" fmla="*/ 31553 h 91439"/>
              <a:gd name="connsiteX199" fmla="*/ 981370 w 1254402"/>
              <a:gd name="connsiteY199" fmla="*/ 19318 h 91439"/>
              <a:gd name="connsiteX200" fmla="*/ 994893 w 1254402"/>
              <a:gd name="connsiteY200" fmla="*/ 19318 h 91439"/>
              <a:gd name="connsiteX201" fmla="*/ 994893 w 1254402"/>
              <a:gd name="connsiteY201" fmla="*/ 15455 h 91439"/>
              <a:gd name="connsiteX202" fmla="*/ 1016143 w 1254402"/>
              <a:gd name="connsiteY202" fmla="*/ 0 h 91439"/>
              <a:gd name="connsiteX203" fmla="*/ 1031598 w 1254402"/>
              <a:gd name="connsiteY203" fmla="*/ 644 h 91439"/>
              <a:gd name="connsiteX204" fmla="*/ 1031598 w 1254402"/>
              <a:gd name="connsiteY204" fmla="*/ 10947 h 91439"/>
              <a:gd name="connsiteX205" fmla="*/ 1021295 w 1254402"/>
              <a:gd name="connsiteY205" fmla="*/ 10303 h 91439"/>
              <a:gd name="connsiteX206" fmla="*/ 1009704 w 1254402"/>
              <a:gd name="connsiteY206" fmla="*/ 19318 h 91439"/>
              <a:gd name="connsiteX207" fmla="*/ 1056712 w 1254402"/>
              <a:gd name="connsiteY207" fmla="*/ 644 h 91439"/>
              <a:gd name="connsiteX208" fmla="*/ 1056712 w 1254402"/>
              <a:gd name="connsiteY208" fmla="*/ 69546 h 91439"/>
              <a:gd name="connsiteX209" fmla="*/ 1041901 w 1254402"/>
              <a:gd name="connsiteY209" fmla="*/ 69546 h 91439"/>
              <a:gd name="connsiteX210" fmla="*/ 1041901 w 1254402"/>
              <a:gd name="connsiteY210" fmla="*/ 644 h 91439"/>
              <a:gd name="connsiteX211" fmla="*/ 1056712 w 1254402"/>
              <a:gd name="connsiteY211" fmla="*/ 644 h 91439"/>
              <a:gd name="connsiteX212" fmla="*/ 1067659 w 1254402"/>
              <a:gd name="connsiteY212" fmla="*/ 44432 h 91439"/>
              <a:gd name="connsiteX213" fmla="*/ 1103076 w 1254402"/>
              <a:gd name="connsiteY213" fmla="*/ 18030 h 91439"/>
              <a:gd name="connsiteX214" fmla="*/ 1138493 w 1254402"/>
              <a:gd name="connsiteY214" fmla="*/ 44432 h 91439"/>
              <a:gd name="connsiteX215" fmla="*/ 1103076 w 1254402"/>
              <a:gd name="connsiteY215" fmla="*/ 70834 h 91439"/>
              <a:gd name="connsiteX216" fmla="*/ 1067659 w 1254402"/>
              <a:gd name="connsiteY216" fmla="*/ 44432 h 91439"/>
              <a:gd name="connsiteX217" fmla="*/ 1123038 w 1254402"/>
              <a:gd name="connsiteY217" fmla="*/ 44432 h 91439"/>
              <a:gd name="connsiteX218" fmla="*/ 1102432 w 1254402"/>
              <a:gd name="connsiteY218" fmla="*/ 30265 h 91439"/>
              <a:gd name="connsiteX219" fmla="*/ 1081825 w 1254402"/>
              <a:gd name="connsiteY219" fmla="*/ 44432 h 91439"/>
              <a:gd name="connsiteX220" fmla="*/ 1102432 w 1254402"/>
              <a:gd name="connsiteY220" fmla="*/ 58599 h 91439"/>
              <a:gd name="connsiteX221" fmla="*/ 1123038 w 1254402"/>
              <a:gd name="connsiteY221" fmla="*/ 44432 h 91439"/>
              <a:gd name="connsiteX222" fmla="*/ 1254402 w 1254402"/>
              <a:gd name="connsiteY222" fmla="*/ 19318 h 91439"/>
              <a:gd name="connsiteX223" fmla="*/ 1231864 w 1254402"/>
              <a:gd name="connsiteY223" fmla="*/ 70190 h 91439"/>
              <a:gd name="connsiteX224" fmla="*/ 1211902 w 1254402"/>
              <a:gd name="connsiteY224" fmla="*/ 70190 h 91439"/>
              <a:gd name="connsiteX225" fmla="*/ 1197091 w 1254402"/>
              <a:gd name="connsiteY225" fmla="*/ 34773 h 91439"/>
              <a:gd name="connsiteX226" fmla="*/ 1182281 w 1254402"/>
              <a:gd name="connsiteY226" fmla="*/ 70190 h 91439"/>
              <a:gd name="connsiteX227" fmla="*/ 1162318 w 1254402"/>
              <a:gd name="connsiteY227" fmla="*/ 70190 h 91439"/>
              <a:gd name="connsiteX228" fmla="*/ 1139780 w 1254402"/>
              <a:gd name="connsiteY228" fmla="*/ 19318 h 91439"/>
              <a:gd name="connsiteX229" fmla="*/ 1156523 w 1254402"/>
              <a:gd name="connsiteY229" fmla="*/ 19318 h 91439"/>
              <a:gd name="connsiteX230" fmla="*/ 1173265 w 1254402"/>
              <a:gd name="connsiteY230" fmla="*/ 58599 h 91439"/>
              <a:gd name="connsiteX231" fmla="*/ 1188720 w 1254402"/>
              <a:gd name="connsiteY231" fmla="*/ 19318 h 91439"/>
              <a:gd name="connsiteX232" fmla="*/ 1206107 w 1254402"/>
              <a:gd name="connsiteY232" fmla="*/ 19318 h 91439"/>
              <a:gd name="connsiteX233" fmla="*/ 1221561 w 1254402"/>
              <a:gd name="connsiteY233" fmla="*/ 57955 h 91439"/>
              <a:gd name="connsiteX234" fmla="*/ 1238304 w 1254402"/>
              <a:gd name="connsiteY234" fmla="*/ 18674 h 91439"/>
              <a:gd name="connsiteX235" fmla="*/ 1254402 w 1254402"/>
              <a:gd name="connsiteY235" fmla="*/ 18674 h 914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</a:cxnLst>
            <a:rect l="l" t="t" r="r" b="b"/>
            <a:pathLst>
              <a:path w="1254402" h="91439">
                <a:moveTo>
                  <a:pt x="70834" y="31553"/>
                </a:moveTo>
                <a:cubicBezTo>
                  <a:pt x="70834" y="45076"/>
                  <a:pt x="61175" y="53447"/>
                  <a:pt x="47652" y="53447"/>
                </a:cubicBezTo>
                <a:lnTo>
                  <a:pt x="15455" y="53447"/>
                </a:lnTo>
                <a:lnTo>
                  <a:pt x="15455" y="69546"/>
                </a:lnTo>
                <a:lnTo>
                  <a:pt x="0" y="69546"/>
                </a:lnTo>
                <a:lnTo>
                  <a:pt x="0" y="9015"/>
                </a:lnTo>
                <a:lnTo>
                  <a:pt x="47652" y="9015"/>
                </a:lnTo>
                <a:cubicBezTo>
                  <a:pt x="61175" y="9659"/>
                  <a:pt x="70834" y="18030"/>
                  <a:pt x="70834" y="31553"/>
                </a:cubicBezTo>
                <a:close/>
                <a:moveTo>
                  <a:pt x="55379" y="31553"/>
                </a:moveTo>
                <a:cubicBezTo>
                  <a:pt x="55379" y="22538"/>
                  <a:pt x="48296" y="22538"/>
                  <a:pt x="43788" y="22538"/>
                </a:cubicBezTo>
                <a:lnTo>
                  <a:pt x="16099" y="22538"/>
                </a:lnTo>
                <a:lnTo>
                  <a:pt x="16099" y="40568"/>
                </a:lnTo>
                <a:lnTo>
                  <a:pt x="43144" y="40568"/>
                </a:lnTo>
                <a:cubicBezTo>
                  <a:pt x="48296" y="40568"/>
                  <a:pt x="55379" y="40568"/>
                  <a:pt x="55379" y="31553"/>
                </a:cubicBezTo>
                <a:close/>
                <a:moveTo>
                  <a:pt x="79849" y="44432"/>
                </a:moveTo>
                <a:cubicBezTo>
                  <a:pt x="79849" y="25758"/>
                  <a:pt x="94016" y="18030"/>
                  <a:pt x="115266" y="18030"/>
                </a:cubicBezTo>
                <a:cubicBezTo>
                  <a:pt x="136516" y="18030"/>
                  <a:pt x="150683" y="25758"/>
                  <a:pt x="150683" y="44432"/>
                </a:cubicBezTo>
                <a:cubicBezTo>
                  <a:pt x="150683" y="63106"/>
                  <a:pt x="136516" y="70834"/>
                  <a:pt x="115266" y="70834"/>
                </a:cubicBezTo>
                <a:cubicBezTo>
                  <a:pt x="94016" y="70834"/>
                  <a:pt x="79849" y="63106"/>
                  <a:pt x="79849" y="44432"/>
                </a:cubicBezTo>
                <a:close/>
                <a:moveTo>
                  <a:pt x="135228" y="44432"/>
                </a:moveTo>
                <a:cubicBezTo>
                  <a:pt x="135228" y="34129"/>
                  <a:pt x="128789" y="30265"/>
                  <a:pt x="114622" y="30265"/>
                </a:cubicBezTo>
                <a:cubicBezTo>
                  <a:pt x="101099" y="30265"/>
                  <a:pt x="94016" y="33485"/>
                  <a:pt x="94016" y="44432"/>
                </a:cubicBezTo>
                <a:cubicBezTo>
                  <a:pt x="94016" y="54735"/>
                  <a:pt x="100455" y="58599"/>
                  <a:pt x="114622" y="58599"/>
                </a:cubicBezTo>
                <a:cubicBezTo>
                  <a:pt x="128789" y="58599"/>
                  <a:pt x="135228" y="54735"/>
                  <a:pt x="135228" y="44432"/>
                </a:cubicBezTo>
                <a:close/>
                <a:moveTo>
                  <a:pt x="173221" y="52159"/>
                </a:moveTo>
                <a:cubicBezTo>
                  <a:pt x="173221" y="57311"/>
                  <a:pt x="179016" y="59887"/>
                  <a:pt x="195115" y="59887"/>
                </a:cubicBezTo>
                <a:cubicBezTo>
                  <a:pt x="211214" y="59887"/>
                  <a:pt x="213789" y="58599"/>
                  <a:pt x="213789" y="54735"/>
                </a:cubicBezTo>
                <a:cubicBezTo>
                  <a:pt x="213789" y="50872"/>
                  <a:pt x="211214" y="50872"/>
                  <a:pt x="193827" y="49584"/>
                </a:cubicBezTo>
                <a:cubicBezTo>
                  <a:pt x="171289" y="48296"/>
                  <a:pt x="160342" y="46364"/>
                  <a:pt x="160342" y="34129"/>
                </a:cubicBezTo>
                <a:cubicBezTo>
                  <a:pt x="160342" y="20606"/>
                  <a:pt x="175797" y="18674"/>
                  <a:pt x="193827" y="18674"/>
                </a:cubicBezTo>
                <a:cubicBezTo>
                  <a:pt x="213145" y="18674"/>
                  <a:pt x="226668" y="21250"/>
                  <a:pt x="226668" y="35417"/>
                </a:cubicBezTo>
                <a:lnTo>
                  <a:pt x="211857" y="35417"/>
                </a:lnTo>
                <a:cubicBezTo>
                  <a:pt x="211857" y="30909"/>
                  <a:pt x="206706" y="30265"/>
                  <a:pt x="192539" y="30265"/>
                </a:cubicBezTo>
                <a:cubicBezTo>
                  <a:pt x="178372" y="30265"/>
                  <a:pt x="174509" y="31553"/>
                  <a:pt x="174509" y="34129"/>
                </a:cubicBezTo>
                <a:cubicBezTo>
                  <a:pt x="174509" y="37349"/>
                  <a:pt x="177085" y="37993"/>
                  <a:pt x="194471" y="39281"/>
                </a:cubicBezTo>
                <a:cubicBezTo>
                  <a:pt x="214433" y="40568"/>
                  <a:pt x="227956" y="41212"/>
                  <a:pt x="227956" y="54735"/>
                </a:cubicBezTo>
                <a:cubicBezTo>
                  <a:pt x="227956" y="68902"/>
                  <a:pt x="215077" y="71478"/>
                  <a:pt x="195759" y="71478"/>
                </a:cubicBezTo>
                <a:cubicBezTo>
                  <a:pt x="176441" y="71478"/>
                  <a:pt x="158410" y="68902"/>
                  <a:pt x="158410" y="52803"/>
                </a:cubicBezTo>
                <a:lnTo>
                  <a:pt x="173221" y="52803"/>
                </a:lnTo>
                <a:close/>
                <a:moveTo>
                  <a:pt x="254358" y="644"/>
                </a:moveTo>
                <a:lnTo>
                  <a:pt x="254358" y="13523"/>
                </a:lnTo>
                <a:lnTo>
                  <a:pt x="239547" y="13523"/>
                </a:lnTo>
                <a:lnTo>
                  <a:pt x="239547" y="644"/>
                </a:lnTo>
                <a:lnTo>
                  <a:pt x="254358" y="644"/>
                </a:lnTo>
                <a:close/>
                <a:moveTo>
                  <a:pt x="254358" y="19318"/>
                </a:moveTo>
                <a:lnTo>
                  <a:pt x="254358" y="70190"/>
                </a:lnTo>
                <a:lnTo>
                  <a:pt x="239547" y="70190"/>
                </a:lnTo>
                <a:lnTo>
                  <a:pt x="239547" y="19318"/>
                </a:lnTo>
                <a:lnTo>
                  <a:pt x="254358" y="19318"/>
                </a:lnTo>
                <a:close/>
                <a:moveTo>
                  <a:pt x="292994" y="31553"/>
                </a:moveTo>
                <a:lnTo>
                  <a:pt x="292994" y="46364"/>
                </a:lnTo>
                <a:cubicBezTo>
                  <a:pt x="292994" y="56023"/>
                  <a:pt x="294926" y="58599"/>
                  <a:pt x="303941" y="58599"/>
                </a:cubicBezTo>
                <a:cubicBezTo>
                  <a:pt x="308449" y="58599"/>
                  <a:pt x="311025" y="58599"/>
                  <a:pt x="316820" y="57955"/>
                </a:cubicBezTo>
                <a:lnTo>
                  <a:pt x="316820" y="69546"/>
                </a:lnTo>
                <a:cubicBezTo>
                  <a:pt x="311669" y="70190"/>
                  <a:pt x="306517" y="70834"/>
                  <a:pt x="299434" y="70834"/>
                </a:cubicBezTo>
                <a:cubicBezTo>
                  <a:pt x="286555" y="70834"/>
                  <a:pt x="278184" y="65682"/>
                  <a:pt x="278184" y="54735"/>
                </a:cubicBezTo>
                <a:lnTo>
                  <a:pt x="278184" y="31553"/>
                </a:lnTo>
                <a:lnTo>
                  <a:pt x="264661" y="31553"/>
                </a:lnTo>
                <a:lnTo>
                  <a:pt x="264661" y="19318"/>
                </a:lnTo>
                <a:lnTo>
                  <a:pt x="278184" y="19318"/>
                </a:lnTo>
                <a:lnTo>
                  <a:pt x="278184" y="9015"/>
                </a:lnTo>
                <a:lnTo>
                  <a:pt x="292994" y="4508"/>
                </a:lnTo>
                <a:lnTo>
                  <a:pt x="292994" y="19318"/>
                </a:lnTo>
                <a:lnTo>
                  <a:pt x="316820" y="19318"/>
                </a:lnTo>
                <a:lnTo>
                  <a:pt x="316820" y="31553"/>
                </a:lnTo>
                <a:lnTo>
                  <a:pt x="292994" y="31553"/>
                </a:lnTo>
                <a:close/>
                <a:moveTo>
                  <a:pt x="342578" y="644"/>
                </a:moveTo>
                <a:lnTo>
                  <a:pt x="342578" y="13523"/>
                </a:lnTo>
                <a:lnTo>
                  <a:pt x="327767" y="13523"/>
                </a:lnTo>
                <a:lnTo>
                  <a:pt x="327767" y="644"/>
                </a:lnTo>
                <a:lnTo>
                  <a:pt x="342578" y="644"/>
                </a:lnTo>
                <a:close/>
                <a:moveTo>
                  <a:pt x="342578" y="19318"/>
                </a:moveTo>
                <a:lnTo>
                  <a:pt x="342578" y="70190"/>
                </a:lnTo>
                <a:lnTo>
                  <a:pt x="327767" y="70190"/>
                </a:lnTo>
                <a:lnTo>
                  <a:pt x="327767" y="19318"/>
                </a:lnTo>
                <a:lnTo>
                  <a:pt x="342578" y="19318"/>
                </a:lnTo>
                <a:close/>
                <a:moveTo>
                  <a:pt x="424359" y="19318"/>
                </a:moveTo>
                <a:lnTo>
                  <a:pt x="398601" y="70190"/>
                </a:lnTo>
                <a:lnTo>
                  <a:pt x="377995" y="70190"/>
                </a:lnTo>
                <a:lnTo>
                  <a:pt x="352237" y="19318"/>
                </a:lnTo>
                <a:lnTo>
                  <a:pt x="368336" y="19318"/>
                </a:lnTo>
                <a:lnTo>
                  <a:pt x="388298" y="59887"/>
                </a:lnTo>
                <a:lnTo>
                  <a:pt x="408260" y="19318"/>
                </a:lnTo>
                <a:lnTo>
                  <a:pt x="424359" y="19318"/>
                </a:lnTo>
                <a:close/>
                <a:moveTo>
                  <a:pt x="481670" y="51515"/>
                </a:moveTo>
                <a:lnTo>
                  <a:pt x="496481" y="51515"/>
                </a:lnTo>
                <a:cubicBezTo>
                  <a:pt x="493261" y="64394"/>
                  <a:pt x="480382" y="70834"/>
                  <a:pt x="461708" y="70834"/>
                </a:cubicBezTo>
                <a:cubicBezTo>
                  <a:pt x="442389" y="70834"/>
                  <a:pt x="427579" y="63106"/>
                  <a:pt x="427579" y="44432"/>
                </a:cubicBezTo>
                <a:cubicBezTo>
                  <a:pt x="427579" y="25758"/>
                  <a:pt x="442389" y="18030"/>
                  <a:pt x="462995" y="18030"/>
                </a:cubicBezTo>
                <a:cubicBezTo>
                  <a:pt x="482314" y="18030"/>
                  <a:pt x="497768" y="24470"/>
                  <a:pt x="497768" y="47652"/>
                </a:cubicBezTo>
                <a:lnTo>
                  <a:pt x="442389" y="47652"/>
                </a:lnTo>
                <a:cubicBezTo>
                  <a:pt x="444321" y="56023"/>
                  <a:pt x="452048" y="58599"/>
                  <a:pt x="461708" y="58599"/>
                </a:cubicBezTo>
                <a:cubicBezTo>
                  <a:pt x="471367" y="58599"/>
                  <a:pt x="477806" y="56667"/>
                  <a:pt x="481670" y="51515"/>
                </a:cubicBezTo>
                <a:close/>
                <a:moveTo>
                  <a:pt x="442389" y="38637"/>
                </a:moveTo>
                <a:lnTo>
                  <a:pt x="481026" y="38637"/>
                </a:lnTo>
                <a:cubicBezTo>
                  <a:pt x="478450" y="31553"/>
                  <a:pt x="471367" y="29621"/>
                  <a:pt x="461708" y="29621"/>
                </a:cubicBezTo>
                <a:cubicBezTo>
                  <a:pt x="452048" y="29621"/>
                  <a:pt x="444965" y="31553"/>
                  <a:pt x="442389" y="38637"/>
                </a:cubicBezTo>
                <a:close/>
                <a:moveTo>
                  <a:pt x="622694" y="644"/>
                </a:moveTo>
                <a:lnTo>
                  <a:pt x="622694" y="69546"/>
                </a:lnTo>
                <a:lnTo>
                  <a:pt x="607883" y="69546"/>
                </a:lnTo>
                <a:lnTo>
                  <a:pt x="607883" y="61819"/>
                </a:lnTo>
                <a:cubicBezTo>
                  <a:pt x="602087" y="67614"/>
                  <a:pt x="593716" y="70834"/>
                  <a:pt x="582769" y="70834"/>
                </a:cubicBezTo>
                <a:cubicBezTo>
                  <a:pt x="566670" y="70834"/>
                  <a:pt x="552504" y="63750"/>
                  <a:pt x="552504" y="44432"/>
                </a:cubicBezTo>
                <a:cubicBezTo>
                  <a:pt x="552504" y="25114"/>
                  <a:pt x="566670" y="18030"/>
                  <a:pt x="582769" y="18030"/>
                </a:cubicBezTo>
                <a:cubicBezTo>
                  <a:pt x="593716" y="18030"/>
                  <a:pt x="602731" y="21250"/>
                  <a:pt x="607883" y="27046"/>
                </a:cubicBezTo>
                <a:lnTo>
                  <a:pt x="607883" y="644"/>
                </a:lnTo>
                <a:lnTo>
                  <a:pt x="622694" y="644"/>
                </a:lnTo>
                <a:close/>
                <a:moveTo>
                  <a:pt x="607883" y="44432"/>
                </a:moveTo>
                <a:cubicBezTo>
                  <a:pt x="607883" y="34129"/>
                  <a:pt x="600800" y="30265"/>
                  <a:pt x="587277" y="30265"/>
                </a:cubicBezTo>
                <a:cubicBezTo>
                  <a:pt x="574398" y="30265"/>
                  <a:pt x="566670" y="34129"/>
                  <a:pt x="566670" y="44432"/>
                </a:cubicBezTo>
                <a:cubicBezTo>
                  <a:pt x="566670" y="54735"/>
                  <a:pt x="573754" y="58599"/>
                  <a:pt x="587277" y="58599"/>
                </a:cubicBezTo>
                <a:cubicBezTo>
                  <a:pt x="600800" y="58599"/>
                  <a:pt x="607883" y="54735"/>
                  <a:pt x="607883" y="44432"/>
                </a:cubicBezTo>
                <a:close/>
                <a:moveTo>
                  <a:pt x="649739" y="644"/>
                </a:moveTo>
                <a:lnTo>
                  <a:pt x="649739" y="13523"/>
                </a:lnTo>
                <a:lnTo>
                  <a:pt x="634928" y="13523"/>
                </a:lnTo>
                <a:lnTo>
                  <a:pt x="634928" y="644"/>
                </a:lnTo>
                <a:lnTo>
                  <a:pt x="649739" y="644"/>
                </a:lnTo>
                <a:close/>
                <a:moveTo>
                  <a:pt x="649739" y="19318"/>
                </a:moveTo>
                <a:lnTo>
                  <a:pt x="649739" y="70190"/>
                </a:lnTo>
                <a:lnTo>
                  <a:pt x="634928" y="70190"/>
                </a:lnTo>
                <a:lnTo>
                  <a:pt x="634928" y="19318"/>
                </a:lnTo>
                <a:lnTo>
                  <a:pt x="649739" y="19318"/>
                </a:lnTo>
                <a:close/>
                <a:moveTo>
                  <a:pt x="730876" y="19318"/>
                </a:moveTo>
                <a:lnTo>
                  <a:pt x="730876" y="61819"/>
                </a:lnTo>
                <a:cubicBezTo>
                  <a:pt x="730876" y="82425"/>
                  <a:pt x="716709" y="91440"/>
                  <a:pt x="698035" y="91440"/>
                </a:cubicBezTo>
                <a:cubicBezTo>
                  <a:pt x="683224" y="91440"/>
                  <a:pt x="670989" y="88864"/>
                  <a:pt x="666482" y="87576"/>
                </a:cubicBezTo>
                <a:lnTo>
                  <a:pt x="666482" y="75985"/>
                </a:lnTo>
                <a:cubicBezTo>
                  <a:pt x="672277" y="77273"/>
                  <a:pt x="683868" y="79849"/>
                  <a:pt x="694815" y="79849"/>
                </a:cubicBezTo>
                <a:cubicBezTo>
                  <a:pt x="710270" y="79849"/>
                  <a:pt x="716065" y="74053"/>
                  <a:pt x="716065" y="61175"/>
                </a:cubicBezTo>
                <a:cubicBezTo>
                  <a:pt x="710914" y="66970"/>
                  <a:pt x="702543" y="70190"/>
                  <a:pt x="690308" y="70190"/>
                </a:cubicBezTo>
                <a:cubicBezTo>
                  <a:pt x="672921" y="70190"/>
                  <a:pt x="660686" y="62463"/>
                  <a:pt x="660686" y="44432"/>
                </a:cubicBezTo>
                <a:cubicBezTo>
                  <a:pt x="660686" y="26402"/>
                  <a:pt x="672921" y="18674"/>
                  <a:pt x="690308" y="18674"/>
                </a:cubicBezTo>
                <a:cubicBezTo>
                  <a:pt x="702543" y="18674"/>
                  <a:pt x="710914" y="21894"/>
                  <a:pt x="716065" y="27690"/>
                </a:cubicBezTo>
                <a:lnTo>
                  <a:pt x="716065" y="19318"/>
                </a:lnTo>
                <a:lnTo>
                  <a:pt x="730876" y="19318"/>
                </a:lnTo>
                <a:close/>
                <a:moveTo>
                  <a:pt x="715421" y="43788"/>
                </a:moveTo>
                <a:cubicBezTo>
                  <a:pt x="715421" y="34773"/>
                  <a:pt x="708982" y="30909"/>
                  <a:pt x="694815" y="30909"/>
                </a:cubicBezTo>
                <a:cubicBezTo>
                  <a:pt x="680648" y="30909"/>
                  <a:pt x="674209" y="34773"/>
                  <a:pt x="674209" y="43788"/>
                </a:cubicBezTo>
                <a:cubicBezTo>
                  <a:pt x="674209" y="52803"/>
                  <a:pt x="680648" y="56667"/>
                  <a:pt x="694815" y="56667"/>
                </a:cubicBezTo>
                <a:cubicBezTo>
                  <a:pt x="708982" y="56667"/>
                  <a:pt x="715421" y="52803"/>
                  <a:pt x="715421" y="43788"/>
                </a:cubicBezTo>
                <a:close/>
                <a:moveTo>
                  <a:pt x="757278" y="644"/>
                </a:moveTo>
                <a:lnTo>
                  <a:pt x="757278" y="13523"/>
                </a:lnTo>
                <a:lnTo>
                  <a:pt x="742467" y="13523"/>
                </a:lnTo>
                <a:lnTo>
                  <a:pt x="742467" y="644"/>
                </a:lnTo>
                <a:lnTo>
                  <a:pt x="757278" y="644"/>
                </a:lnTo>
                <a:close/>
                <a:moveTo>
                  <a:pt x="757278" y="19318"/>
                </a:moveTo>
                <a:lnTo>
                  <a:pt x="757278" y="70190"/>
                </a:lnTo>
                <a:lnTo>
                  <a:pt x="742467" y="70190"/>
                </a:lnTo>
                <a:lnTo>
                  <a:pt x="742467" y="19318"/>
                </a:lnTo>
                <a:lnTo>
                  <a:pt x="757278" y="19318"/>
                </a:lnTo>
                <a:close/>
                <a:moveTo>
                  <a:pt x="795914" y="31553"/>
                </a:moveTo>
                <a:lnTo>
                  <a:pt x="795914" y="46364"/>
                </a:lnTo>
                <a:cubicBezTo>
                  <a:pt x="795914" y="56023"/>
                  <a:pt x="797846" y="58599"/>
                  <a:pt x="806861" y="58599"/>
                </a:cubicBezTo>
                <a:cubicBezTo>
                  <a:pt x="811369" y="58599"/>
                  <a:pt x="813945" y="58599"/>
                  <a:pt x="819740" y="57955"/>
                </a:cubicBezTo>
                <a:lnTo>
                  <a:pt x="819740" y="69546"/>
                </a:lnTo>
                <a:cubicBezTo>
                  <a:pt x="814589" y="70190"/>
                  <a:pt x="809437" y="70834"/>
                  <a:pt x="802354" y="70834"/>
                </a:cubicBezTo>
                <a:cubicBezTo>
                  <a:pt x="789475" y="70834"/>
                  <a:pt x="781104" y="65682"/>
                  <a:pt x="781104" y="54735"/>
                </a:cubicBezTo>
                <a:lnTo>
                  <a:pt x="781104" y="31553"/>
                </a:lnTo>
                <a:lnTo>
                  <a:pt x="767581" y="31553"/>
                </a:lnTo>
                <a:lnTo>
                  <a:pt x="767581" y="19318"/>
                </a:lnTo>
                <a:lnTo>
                  <a:pt x="781104" y="19318"/>
                </a:lnTo>
                <a:lnTo>
                  <a:pt x="781104" y="9015"/>
                </a:lnTo>
                <a:lnTo>
                  <a:pt x="795914" y="4508"/>
                </a:lnTo>
                <a:lnTo>
                  <a:pt x="795914" y="19318"/>
                </a:lnTo>
                <a:lnTo>
                  <a:pt x="819740" y="19318"/>
                </a:lnTo>
                <a:lnTo>
                  <a:pt x="819740" y="31553"/>
                </a:lnTo>
                <a:lnTo>
                  <a:pt x="795914" y="31553"/>
                </a:lnTo>
                <a:close/>
                <a:moveTo>
                  <a:pt x="898301" y="44432"/>
                </a:moveTo>
                <a:lnTo>
                  <a:pt x="898301" y="70190"/>
                </a:lnTo>
                <a:lnTo>
                  <a:pt x="883491" y="70190"/>
                </a:lnTo>
                <a:lnTo>
                  <a:pt x="883491" y="63750"/>
                </a:lnTo>
                <a:cubicBezTo>
                  <a:pt x="874476" y="68258"/>
                  <a:pt x="864816" y="70834"/>
                  <a:pt x="852581" y="70834"/>
                </a:cubicBezTo>
                <a:cubicBezTo>
                  <a:pt x="838415" y="70834"/>
                  <a:pt x="829400" y="66326"/>
                  <a:pt x="829400" y="54735"/>
                </a:cubicBezTo>
                <a:cubicBezTo>
                  <a:pt x="829400" y="41856"/>
                  <a:pt x="843566" y="37349"/>
                  <a:pt x="860309" y="37349"/>
                </a:cubicBezTo>
                <a:cubicBezTo>
                  <a:pt x="869324" y="37349"/>
                  <a:pt x="877051" y="38637"/>
                  <a:pt x="883491" y="41212"/>
                </a:cubicBezTo>
                <a:cubicBezTo>
                  <a:pt x="883491" y="31553"/>
                  <a:pt x="871256" y="30909"/>
                  <a:pt x="864172" y="30909"/>
                </a:cubicBezTo>
                <a:cubicBezTo>
                  <a:pt x="857733" y="30909"/>
                  <a:pt x="849362" y="31553"/>
                  <a:pt x="839059" y="34773"/>
                </a:cubicBezTo>
                <a:lnTo>
                  <a:pt x="833907" y="23826"/>
                </a:lnTo>
                <a:cubicBezTo>
                  <a:pt x="844210" y="20606"/>
                  <a:pt x="854513" y="18674"/>
                  <a:pt x="864816" y="18674"/>
                </a:cubicBezTo>
                <a:cubicBezTo>
                  <a:pt x="886066" y="18030"/>
                  <a:pt x="898301" y="25114"/>
                  <a:pt x="898301" y="44432"/>
                </a:cubicBezTo>
                <a:close/>
                <a:moveTo>
                  <a:pt x="883491" y="50228"/>
                </a:moveTo>
                <a:cubicBezTo>
                  <a:pt x="878339" y="48296"/>
                  <a:pt x="871256" y="47008"/>
                  <a:pt x="862241" y="47008"/>
                </a:cubicBezTo>
                <a:cubicBezTo>
                  <a:pt x="851294" y="47008"/>
                  <a:pt x="844854" y="48940"/>
                  <a:pt x="844854" y="54091"/>
                </a:cubicBezTo>
                <a:cubicBezTo>
                  <a:pt x="844854" y="59243"/>
                  <a:pt x="850006" y="59887"/>
                  <a:pt x="857733" y="59887"/>
                </a:cubicBezTo>
                <a:cubicBezTo>
                  <a:pt x="865460" y="59887"/>
                  <a:pt x="877051" y="57311"/>
                  <a:pt x="884135" y="54091"/>
                </a:cubicBezTo>
                <a:lnTo>
                  <a:pt x="884135" y="50228"/>
                </a:lnTo>
                <a:close/>
                <a:moveTo>
                  <a:pt x="925347" y="644"/>
                </a:moveTo>
                <a:lnTo>
                  <a:pt x="925347" y="69546"/>
                </a:lnTo>
                <a:lnTo>
                  <a:pt x="910536" y="69546"/>
                </a:lnTo>
                <a:lnTo>
                  <a:pt x="910536" y="644"/>
                </a:lnTo>
                <a:lnTo>
                  <a:pt x="925347" y="644"/>
                </a:lnTo>
                <a:close/>
                <a:moveTo>
                  <a:pt x="1009704" y="19318"/>
                </a:moveTo>
                <a:lnTo>
                  <a:pt x="1030954" y="19318"/>
                </a:lnTo>
                <a:lnTo>
                  <a:pt x="1030954" y="31553"/>
                </a:lnTo>
                <a:lnTo>
                  <a:pt x="1009704" y="31553"/>
                </a:lnTo>
                <a:lnTo>
                  <a:pt x="1009704" y="70190"/>
                </a:lnTo>
                <a:lnTo>
                  <a:pt x="994893" y="70190"/>
                </a:lnTo>
                <a:lnTo>
                  <a:pt x="994893" y="31553"/>
                </a:lnTo>
                <a:lnTo>
                  <a:pt x="981370" y="31553"/>
                </a:lnTo>
                <a:lnTo>
                  <a:pt x="981370" y="19318"/>
                </a:lnTo>
                <a:lnTo>
                  <a:pt x="994893" y="19318"/>
                </a:lnTo>
                <a:lnTo>
                  <a:pt x="994893" y="15455"/>
                </a:lnTo>
                <a:cubicBezTo>
                  <a:pt x="994893" y="5152"/>
                  <a:pt x="1001332" y="0"/>
                  <a:pt x="1016143" y="0"/>
                </a:cubicBezTo>
                <a:cubicBezTo>
                  <a:pt x="1021295" y="0"/>
                  <a:pt x="1023870" y="0"/>
                  <a:pt x="1031598" y="644"/>
                </a:cubicBezTo>
                <a:lnTo>
                  <a:pt x="1031598" y="10947"/>
                </a:lnTo>
                <a:cubicBezTo>
                  <a:pt x="1028378" y="10947"/>
                  <a:pt x="1024514" y="10303"/>
                  <a:pt x="1021295" y="10303"/>
                </a:cubicBezTo>
                <a:cubicBezTo>
                  <a:pt x="1012279" y="10947"/>
                  <a:pt x="1009704" y="12879"/>
                  <a:pt x="1009704" y="19318"/>
                </a:cubicBezTo>
                <a:close/>
                <a:moveTo>
                  <a:pt x="1056712" y="644"/>
                </a:moveTo>
                <a:lnTo>
                  <a:pt x="1056712" y="69546"/>
                </a:lnTo>
                <a:lnTo>
                  <a:pt x="1041901" y="69546"/>
                </a:lnTo>
                <a:lnTo>
                  <a:pt x="1041901" y="644"/>
                </a:lnTo>
                <a:lnTo>
                  <a:pt x="1056712" y="644"/>
                </a:lnTo>
                <a:close/>
                <a:moveTo>
                  <a:pt x="1067659" y="44432"/>
                </a:moveTo>
                <a:cubicBezTo>
                  <a:pt x="1067659" y="25758"/>
                  <a:pt x="1081825" y="18030"/>
                  <a:pt x="1103076" y="18030"/>
                </a:cubicBezTo>
                <a:cubicBezTo>
                  <a:pt x="1124326" y="18030"/>
                  <a:pt x="1138493" y="25758"/>
                  <a:pt x="1138493" y="44432"/>
                </a:cubicBezTo>
                <a:cubicBezTo>
                  <a:pt x="1138493" y="63106"/>
                  <a:pt x="1124326" y="70834"/>
                  <a:pt x="1103076" y="70834"/>
                </a:cubicBezTo>
                <a:cubicBezTo>
                  <a:pt x="1081825" y="70834"/>
                  <a:pt x="1067659" y="63106"/>
                  <a:pt x="1067659" y="44432"/>
                </a:cubicBezTo>
                <a:close/>
                <a:moveTo>
                  <a:pt x="1123038" y="44432"/>
                </a:moveTo>
                <a:cubicBezTo>
                  <a:pt x="1123038" y="34129"/>
                  <a:pt x="1116598" y="30265"/>
                  <a:pt x="1102432" y="30265"/>
                </a:cubicBezTo>
                <a:cubicBezTo>
                  <a:pt x="1088909" y="30265"/>
                  <a:pt x="1081825" y="33485"/>
                  <a:pt x="1081825" y="44432"/>
                </a:cubicBezTo>
                <a:cubicBezTo>
                  <a:pt x="1081825" y="54735"/>
                  <a:pt x="1088265" y="58599"/>
                  <a:pt x="1102432" y="58599"/>
                </a:cubicBezTo>
                <a:cubicBezTo>
                  <a:pt x="1115954" y="58599"/>
                  <a:pt x="1123038" y="54735"/>
                  <a:pt x="1123038" y="44432"/>
                </a:cubicBezTo>
                <a:close/>
                <a:moveTo>
                  <a:pt x="1254402" y="19318"/>
                </a:moveTo>
                <a:lnTo>
                  <a:pt x="1231864" y="70190"/>
                </a:lnTo>
                <a:lnTo>
                  <a:pt x="1211902" y="70190"/>
                </a:lnTo>
                <a:lnTo>
                  <a:pt x="1197091" y="34773"/>
                </a:lnTo>
                <a:lnTo>
                  <a:pt x="1182281" y="70190"/>
                </a:lnTo>
                <a:lnTo>
                  <a:pt x="1162318" y="70190"/>
                </a:lnTo>
                <a:lnTo>
                  <a:pt x="1139780" y="19318"/>
                </a:lnTo>
                <a:lnTo>
                  <a:pt x="1156523" y="19318"/>
                </a:lnTo>
                <a:lnTo>
                  <a:pt x="1173265" y="58599"/>
                </a:lnTo>
                <a:lnTo>
                  <a:pt x="1188720" y="19318"/>
                </a:lnTo>
                <a:lnTo>
                  <a:pt x="1206107" y="19318"/>
                </a:lnTo>
                <a:lnTo>
                  <a:pt x="1221561" y="57955"/>
                </a:lnTo>
                <a:lnTo>
                  <a:pt x="1238304" y="18674"/>
                </a:lnTo>
                <a:lnTo>
                  <a:pt x="1254402" y="18674"/>
                </a:lnTo>
                <a:close/>
              </a:path>
            </a:pathLst>
          </a:custGeom>
          <a:solidFill>
            <a:srgbClr val="00AA9B"/>
          </a:solidFill>
          <a:ln w="6439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grpSp>
        <xdr:nvGrpSpPr>
          <xdr:cNvPr id="9" name="Graphique 9">
            <a:extLst>
              <a:ext uri="{FF2B5EF4-FFF2-40B4-BE49-F238E27FC236}">
                <a16:creationId xmlns:a16="http://schemas.microsoft.com/office/drawing/2014/main" id="{2352FAC8-8F77-4AFE-A871-B07F169E6069}"/>
              </a:ext>
            </a:extLst>
          </xdr:cNvPr>
          <xdr:cNvGrpSpPr/>
        </xdr:nvGrpSpPr>
        <xdr:grpSpPr>
          <a:xfrm>
            <a:off x="13512800" y="647260"/>
            <a:ext cx="1824935" cy="273031"/>
            <a:chOff x="13512800" y="647260"/>
            <a:chExt cx="1824935" cy="273031"/>
          </a:xfrm>
        </xdr:grpSpPr>
        <xdr:sp macro="" textlink="">
          <xdr:nvSpPr>
            <xdr:cNvPr id="10" name="Forme libre : forme 19">
              <a:extLst>
                <a:ext uri="{FF2B5EF4-FFF2-40B4-BE49-F238E27FC236}">
                  <a16:creationId xmlns:a16="http://schemas.microsoft.com/office/drawing/2014/main" id="{DB1B79A6-3733-4C95-B7E8-D653BCBE65F1}"/>
                </a:ext>
              </a:extLst>
            </xdr:cNvPr>
            <xdr:cNvSpPr/>
          </xdr:nvSpPr>
          <xdr:spPr>
            <a:xfrm>
              <a:off x="13512800" y="647260"/>
              <a:ext cx="1533229" cy="273031"/>
            </a:xfrm>
            <a:custGeom>
              <a:avLst/>
              <a:gdLst>
                <a:gd name="connsiteX0" fmla="*/ 358677 w 1533229"/>
                <a:gd name="connsiteY0" fmla="*/ 169357 h 273031"/>
                <a:gd name="connsiteX1" fmla="*/ 358677 w 1533229"/>
                <a:gd name="connsiteY1" fmla="*/ 269168 h 273031"/>
                <a:gd name="connsiteX2" fmla="*/ 285267 w 1533229"/>
                <a:gd name="connsiteY2" fmla="*/ 269168 h 273031"/>
                <a:gd name="connsiteX3" fmla="*/ 285267 w 1533229"/>
                <a:gd name="connsiteY3" fmla="*/ 198978 h 273031"/>
                <a:gd name="connsiteX4" fmla="*/ 242123 w 1533229"/>
                <a:gd name="connsiteY4" fmla="*/ 154546 h 273031"/>
                <a:gd name="connsiteX5" fmla="*/ 183524 w 1533229"/>
                <a:gd name="connsiteY5" fmla="*/ 177728 h 273031"/>
                <a:gd name="connsiteX6" fmla="*/ 183524 w 1533229"/>
                <a:gd name="connsiteY6" fmla="*/ 269812 h 273031"/>
                <a:gd name="connsiteX7" fmla="*/ 110758 w 1533229"/>
                <a:gd name="connsiteY7" fmla="*/ 269812 h 273031"/>
                <a:gd name="connsiteX8" fmla="*/ 110758 w 1533229"/>
                <a:gd name="connsiteY8" fmla="*/ 92084 h 273031"/>
                <a:gd name="connsiteX9" fmla="*/ 183524 w 1533229"/>
                <a:gd name="connsiteY9" fmla="*/ 92084 h 273031"/>
                <a:gd name="connsiteX10" fmla="*/ 183524 w 1533229"/>
                <a:gd name="connsiteY10" fmla="*/ 117842 h 273031"/>
                <a:gd name="connsiteX11" fmla="*/ 271744 w 1533229"/>
                <a:gd name="connsiteY11" fmla="*/ 90152 h 273031"/>
                <a:gd name="connsiteX12" fmla="*/ 358677 w 1533229"/>
                <a:gd name="connsiteY12" fmla="*/ 169357 h 273031"/>
                <a:gd name="connsiteX13" fmla="*/ 765005 w 1533229"/>
                <a:gd name="connsiteY13" fmla="*/ 36705 h 273031"/>
                <a:gd name="connsiteX14" fmla="*/ 692239 w 1533229"/>
                <a:gd name="connsiteY14" fmla="*/ 36705 h 273031"/>
                <a:gd name="connsiteX15" fmla="*/ 692239 w 1533229"/>
                <a:gd name="connsiteY15" fmla="*/ 92084 h 273031"/>
                <a:gd name="connsiteX16" fmla="*/ 652959 w 1533229"/>
                <a:gd name="connsiteY16" fmla="*/ 92084 h 273031"/>
                <a:gd name="connsiteX17" fmla="*/ 652959 w 1533229"/>
                <a:gd name="connsiteY17" fmla="*/ 151327 h 273031"/>
                <a:gd name="connsiteX18" fmla="*/ 692239 w 1533229"/>
                <a:gd name="connsiteY18" fmla="*/ 151327 h 273031"/>
                <a:gd name="connsiteX19" fmla="*/ 692239 w 1533229"/>
                <a:gd name="connsiteY19" fmla="*/ 269168 h 273031"/>
                <a:gd name="connsiteX20" fmla="*/ 838415 w 1533229"/>
                <a:gd name="connsiteY20" fmla="*/ 269168 h 273031"/>
                <a:gd name="connsiteX21" fmla="*/ 838415 w 1533229"/>
                <a:gd name="connsiteY21" fmla="*/ 209926 h 273031"/>
                <a:gd name="connsiteX22" fmla="*/ 765649 w 1533229"/>
                <a:gd name="connsiteY22" fmla="*/ 209926 h 273031"/>
                <a:gd name="connsiteX23" fmla="*/ 765649 w 1533229"/>
                <a:gd name="connsiteY23" fmla="*/ 151327 h 273031"/>
                <a:gd name="connsiteX24" fmla="*/ 838415 w 1533229"/>
                <a:gd name="connsiteY24" fmla="*/ 151327 h 273031"/>
                <a:gd name="connsiteX25" fmla="*/ 838415 w 1533229"/>
                <a:gd name="connsiteY25" fmla="*/ 92084 h 273031"/>
                <a:gd name="connsiteX26" fmla="*/ 765649 w 1533229"/>
                <a:gd name="connsiteY26" fmla="*/ 92084 h 273031"/>
                <a:gd name="connsiteX27" fmla="*/ 765649 w 1533229"/>
                <a:gd name="connsiteY27" fmla="*/ 36705 h 273031"/>
                <a:gd name="connsiteX28" fmla="*/ 632997 w 1533229"/>
                <a:gd name="connsiteY28" fmla="*/ 192539 h 273031"/>
                <a:gd name="connsiteX29" fmla="*/ 462352 w 1533229"/>
                <a:gd name="connsiteY29" fmla="*/ 192539 h 273031"/>
                <a:gd name="connsiteX30" fmla="*/ 508072 w 1533229"/>
                <a:gd name="connsiteY30" fmla="*/ 216365 h 273031"/>
                <a:gd name="connsiteX31" fmla="*/ 548640 w 1533229"/>
                <a:gd name="connsiteY31" fmla="*/ 209926 h 273031"/>
                <a:gd name="connsiteX32" fmla="*/ 627845 w 1533229"/>
                <a:gd name="connsiteY32" fmla="*/ 209926 h 273031"/>
                <a:gd name="connsiteX33" fmla="*/ 508072 w 1533229"/>
                <a:gd name="connsiteY33" fmla="*/ 273032 h 273031"/>
                <a:gd name="connsiteX34" fmla="*/ 388942 w 1533229"/>
                <a:gd name="connsiteY34" fmla="*/ 180304 h 273031"/>
                <a:gd name="connsiteX35" fmla="*/ 511291 w 1533229"/>
                <a:gd name="connsiteY35" fmla="*/ 87576 h 273031"/>
                <a:gd name="connsiteX36" fmla="*/ 632997 w 1533229"/>
                <a:gd name="connsiteY36" fmla="*/ 192539 h 273031"/>
                <a:gd name="connsiteX37" fmla="*/ 556367 w 1533229"/>
                <a:gd name="connsiteY37" fmla="*/ 152615 h 273031"/>
                <a:gd name="connsiteX38" fmla="*/ 510647 w 1533229"/>
                <a:gd name="connsiteY38" fmla="*/ 135228 h 273031"/>
                <a:gd name="connsiteX39" fmla="*/ 465571 w 1533229"/>
                <a:gd name="connsiteY39" fmla="*/ 152615 h 273031"/>
                <a:gd name="connsiteX40" fmla="*/ 556367 w 1533229"/>
                <a:gd name="connsiteY40" fmla="*/ 152615 h 273031"/>
                <a:gd name="connsiteX41" fmla="*/ 1041901 w 1533229"/>
                <a:gd name="connsiteY41" fmla="*/ 186744 h 273031"/>
                <a:gd name="connsiteX42" fmla="*/ 985878 w 1533229"/>
                <a:gd name="connsiteY42" fmla="*/ 208638 h 273031"/>
                <a:gd name="connsiteX43" fmla="*/ 943377 w 1533229"/>
                <a:gd name="connsiteY43" fmla="*/ 165493 h 273031"/>
                <a:gd name="connsiteX44" fmla="*/ 943377 w 1533229"/>
                <a:gd name="connsiteY44" fmla="*/ 92084 h 273031"/>
                <a:gd name="connsiteX45" fmla="*/ 870612 w 1533229"/>
                <a:gd name="connsiteY45" fmla="*/ 92084 h 273031"/>
                <a:gd name="connsiteX46" fmla="*/ 870612 w 1533229"/>
                <a:gd name="connsiteY46" fmla="*/ 194471 h 273031"/>
                <a:gd name="connsiteX47" fmla="*/ 957544 w 1533229"/>
                <a:gd name="connsiteY47" fmla="*/ 269812 h 273031"/>
                <a:gd name="connsiteX48" fmla="*/ 1041901 w 1533229"/>
                <a:gd name="connsiteY48" fmla="*/ 243411 h 273031"/>
                <a:gd name="connsiteX49" fmla="*/ 1041901 w 1533229"/>
                <a:gd name="connsiteY49" fmla="*/ 268524 h 273031"/>
                <a:gd name="connsiteX50" fmla="*/ 1114667 w 1533229"/>
                <a:gd name="connsiteY50" fmla="*/ 268524 h 273031"/>
                <a:gd name="connsiteX51" fmla="*/ 1114667 w 1533229"/>
                <a:gd name="connsiteY51" fmla="*/ 91440 h 273031"/>
                <a:gd name="connsiteX52" fmla="*/ 1041901 w 1533229"/>
                <a:gd name="connsiteY52" fmla="*/ 91440 h 273031"/>
                <a:gd name="connsiteX53" fmla="*/ 1041901 w 1533229"/>
                <a:gd name="connsiteY53" fmla="*/ 186744 h 273031"/>
                <a:gd name="connsiteX54" fmla="*/ 1457888 w 1533229"/>
                <a:gd name="connsiteY54" fmla="*/ 89508 h 273031"/>
                <a:gd name="connsiteX55" fmla="*/ 1371600 w 1533229"/>
                <a:gd name="connsiteY55" fmla="*/ 123637 h 273031"/>
                <a:gd name="connsiteX56" fmla="*/ 1305274 w 1533229"/>
                <a:gd name="connsiteY56" fmla="*/ 89508 h 273031"/>
                <a:gd name="connsiteX57" fmla="*/ 1225425 w 1533229"/>
                <a:gd name="connsiteY57" fmla="*/ 121705 h 273031"/>
                <a:gd name="connsiteX58" fmla="*/ 1225425 w 1533229"/>
                <a:gd name="connsiteY58" fmla="*/ 92084 h 273031"/>
                <a:gd name="connsiteX59" fmla="*/ 1152659 w 1533229"/>
                <a:gd name="connsiteY59" fmla="*/ 92084 h 273031"/>
                <a:gd name="connsiteX60" fmla="*/ 1152659 w 1533229"/>
                <a:gd name="connsiteY60" fmla="*/ 269168 h 273031"/>
                <a:gd name="connsiteX61" fmla="*/ 1225425 w 1533229"/>
                <a:gd name="connsiteY61" fmla="*/ 269168 h 273031"/>
                <a:gd name="connsiteX62" fmla="*/ 1225425 w 1533229"/>
                <a:gd name="connsiteY62" fmla="*/ 173865 h 273031"/>
                <a:gd name="connsiteX63" fmla="*/ 1273721 w 1533229"/>
                <a:gd name="connsiteY63" fmla="*/ 151327 h 273031"/>
                <a:gd name="connsiteX64" fmla="*/ 1307850 w 1533229"/>
                <a:gd name="connsiteY64" fmla="*/ 194471 h 273031"/>
                <a:gd name="connsiteX65" fmla="*/ 1307850 w 1533229"/>
                <a:gd name="connsiteY65" fmla="*/ 269168 h 273031"/>
                <a:gd name="connsiteX66" fmla="*/ 1380615 w 1533229"/>
                <a:gd name="connsiteY66" fmla="*/ 269168 h 273031"/>
                <a:gd name="connsiteX67" fmla="*/ 1380615 w 1533229"/>
                <a:gd name="connsiteY67" fmla="*/ 171933 h 273031"/>
                <a:gd name="connsiteX68" fmla="*/ 1426335 w 1533229"/>
                <a:gd name="connsiteY68" fmla="*/ 151327 h 273031"/>
                <a:gd name="connsiteX69" fmla="*/ 1460464 w 1533229"/>
                <a:gd name="connsiteY69" fmla="*/ 194471 h 273031"/>
                <a:gd name="connsiteX70" fmla="*/ 1460464 w 1533229"/>
                <a:gd name="connsiteY70" fmla="*/ 269168 h 273031"/>
                <a:gd name="connsiteX71" fmla="*/ 1533230 w 1533229"/>
                <a:gd name="connsiteY71" fmla="*/ 269168 h 273031"/>
                <a:gd name="connsiteX72" fmla="*/ 1533230 w 1533229"/>
                <a:gd name="connsiteY72" fmla="*/ 162918 h 273031"/>
                <a:gd name="connsiteX73" fmla="*/ 1457888 w 1533229"/>
                <a:gd name="connsiteY73" fmla="*/ 89508 h 273031"/>
                <a:gd name="connsiteX74" fmla="*/ 0 w 1533229"/>
                <a:gd name="connsiteY74" fmla="*/ 92084 h 273031"/>
                <a:gd name="connsiteX75" fmla="*/ 0 w 1533229"/>
                <a:gd name="connsiteY75" fmla="*/ 269168 h 273031"/>
                <a:gd name="connsiteX76" fmla="*/ 72766 w 1533229"/>
                <a:gd name="connsiteY76" fmla="*/ 269168 h 273031"/>
                <a:gd name="connsiteX77" fmla="*/ 72766 w 1533229"/>
                <a:gd name="connsiteY77" fmla="*/ 92084 h 273031"/>
                <a:gd name="connsiteX78" fmla="*/ 0 w 1533229"/>
                <a:gd name="connsiteY78" fmla="*/ 92084 h 273031"/>
                <a:gd name="connsiteX79" fmla="*/ 72766 w 1533229"/>
                <a:gd name="connsiteY79" fmla="*/ 0 h 273031"/>
                <a:gd name="connsiteX80" fmla="*/ 0 w 1533229"/>
                <a:gd name="connsiteY80" fmla="*/ 0 h 273031"/>
                <a:gd name="connsiteX81" fmla="*/ 0 w 1533229"/>
                <a:gd name="connsiteY81" fmla="*/ 72766 h 273031"/>
                <a:gd name="connsiteX82" fmla="*/ 72766 w 1533229"/>
                <a:gd name="connsiteY82" fmla="*/ 72766 h 273031"/>
                <a:gd name="connsiteX83" fmla="*/ 72766 w 1533229"/>
                <a:gd name="connsiteY83" fmla="*/ 0 h 2730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  <a:cxn ang="0">
                  <a:pos x="connsiteX66" y="connsiteY66"/>
                </a:cxn>
                <a:cxn ang="0">
                  <a:pos x="connsiteX67" y="connsiteY67"/>
                </a:cxn>
                <a:cxn ang="0">
                  <a:pos x="connsiteX68" y="connsiteY68"/>
                </a:cxn>
                <a:cxn ang="0">
                  <a:pos x="connsiteX69" y="connsiteY69"/>
                </a:cxn>
                <a:cxn ang="0">
                  <a:pos x="connsiteX70" y="connsiteY70"/>
                </a:cxn>
                <a:cxn ang="0">
                  <a:pos x="connsiteX71" y="connsiteY71"/>
                </a:cxn>
                <a:cxn ang="0">
                  <a:pos x="connsiteX72" y="connsiteY72"/>
                </a:cxn>
                <a:cxn ang="0">
                  <a:pos x="connsiteX73" y="connsiteY73"/>
                </a:cxn>
                <a:cxn ang="0">
                  <a:pos x="connsiteX74" y="connsiteY74"/>
                </a:cxn>
                <a:cxn ang="0">
                  <a:pos x="connsiteX75" y="connsiteY75"/>
                </a:cxn>
                <a:cxn ang="0">
                  <a:pos x="connsiteX76" y="connsiteY76"/>
                </a:cxn>
                <a:cxn ang="0">
                  <a:pos x="connsiteX77" y="connsiteY77"/>
                </a:cxn>
                <a:cxn ang="0">
                  <a:pos x="connsiteX78" y="connsiteY78"/>
                </a:cxn>
                <a:cxn ang="0">
                  <a:pos x="connsiteX79" y="connsiteY79"/>
                </a:cxn>
                <a:cxn ang="0">
                  <a:pos x="connsiteX80" y="connsiteY80"/>
                </a:cxn>
                <a:cxn ang="0">
                  <a:pos x="connsiteX81" y="connsiteY81"/>
                </a:cxn>
                <a:cxn ang="0">
                  <a:pos x="connsiteX82" y="connsiteY82"/>
                </a:cxn>
                <a:cxn ang="0">
                  <a:pos x="connsiteX83" y="connsiteY83"/>
                </a:cxn>
              </a:cxnLst>
              <a:rect l="l" t="t" r="r" b="b"/>
              <a:pathLst>
                <a:path w="1533229" h="273031">
                  <a:moveTo>
                    <a:pt x="358677" y="169357"/>
                  </a:moveTo>
                  <a:lnTo>
                    <a:pt x="358677" y="269168"/>
                  </a:lnTo>
                  <a:lnTo>
                    <a:pt x="285267" y="269168"/>
                  </a:lnTo>
                  <a:lnTo>
                    <a:pt x="285267" y="198978"/>
                  </a:lnTo>
                  <a:cubicBezTo>
                    <a:pt x="285267" y="167425"/>
                    <a:pt x="274964" y="154546"/>
                    <a:pt x="242123" y="154546"/>
                  </a:cubicBezTo>
                  <a:cubicBezTo>
                    <a:pt x="220229" y="154546"/>
                    <a:pt x="197691" y="164206"/>
                    <a:pt x="183524" y="177728"/>
                  </a:cubicBezTo>
                  <a:lnTo>
                    <a:pt x="183524" y="269812"/>
                  </a:lnTo>
                  <a:lnTo>
                    <a:pt x="110758" y="269812"/>
                  </a:lnTo>
                  <a:lnTo>
                    <a:pt x="110758" y="92084"/>
                  </a:lnTo>
                  <a:lnTo>
                    <a:pt x="183524" y="92084"/>
                  </a:lnTo>
                  <a:lnTo>
                    <a:pt x="183524" y="117842"/>
                  </a:lnTo>
                  <a:cubicBezTo>
                    <a:pt x="205418" y="102387"/>
                    <a:pt x="233108" y="90152"/>
                    <a:pt x="271744" y="90152"/>
                  </a:cubicBezTo>
                  <a:cubicBezTo>
                    <a:pt x="312957" y="90152"/>
                    <a:pt x="358677" y="103675"/>
                    <a:pt x="358677" y="169357"/>
                  </a:cubicBezTo>
                  <a:close/>
                  <a:moveTo>
                    <a:pt x="765005" y="36705"/>
                  </a:moveTo>
                  <a:lnTo>
                    <a:pt x="692239" y="36705"/>
                  </a:lnTo>
                  <a:lnTo>
                    <a:pt x="692239" y="92084"/>
                  </a:lnTo>
                  <a:lnTo>
                    <a:pt x="652959" y="92084"/>
                  </a:lnTo>
                  <a:lnTo>
                    <a:pt x="652959" y="151327"/>
                  </a:lnTo>
                  <a:lnTo>
                    <a:pt x="692239" y="151327"/>
                  </a:lnTo>
                  <a:lnTo>
                    <a:pt x="692239" y="269168"/>
                  </a:lnTo>
                  <a:lnTo>
                    <a:pt x="838415" y="269168"/>
                  </a:lnTo>
                  <a:lnTo>
                    <a:pt x="838415" y="209926"/>
                  </a:lnTo>
                  <a:lnTo>
                    <a:pt x="765649" y="209926"/>
                  </a:lnTo>
                  <a:lnTo>
                    <a:pt x="765649" y="151327"/>
                  </a:lnTo>
                  <a:lnTo>
                    <a:pt x="838415" y="151327"/>
                  </a:lnTo>
                  <a:lnTo>
                    <a:pt x="838415" y="92084"/>
                  </a:lnTo>
                  <a:lnTo>
                    <a:pt x="765649" y="92084"/>
                  </a:lnTo>
                  <a:lnTo>
                    <a:pt x="765649" y="36705"/>
                  </a:lnTo>
                  <a:close/>
                  <a:moveTo>
                    <a:pt x="632997" y="192539"/>
                  </a:moveTo>
                  <a:lnTo>
                    <a:pt x="462352" y="192539"/>
                  </a:lnTo>
                  <a:cubicBezTo>
                    <a:pt x="468147" y="211857"/>
                    <a:pt x="488109" y="216365"/>
                    <a:pt x="508072" y="216365"/>
                  </a:cubicBezTo>
                  <a:cubicBezTo>
                    <a:pt x="527390" y="216365"/>
                    <a:pt x="538337" y="215077"/>
                    <a:pt x="548640" y="209926"/>
                  </a:cubicBezTo>
                  <a:lnTo>
                    <a:pt x="627845" y="209926"/>
                  </a:lnTo>
                  <a:cubicBezTo>
                    <a:pt x="616254" y="252426"/>
                    <a:pt x="577617" y="273032"/>
                    <a:pt x="508072" y="273032"/>
                  </a:cubicBezTo>
                  <a:cubicBezTo>
                    <a:pt x="437882" y="273032"/>
                    <a:pt x="388942" y="246630"/>
                    <a:pt x="388942" y="180304"/>
                  </a:cubicBezTo>
                  <a:cubicBezTo>
                    <a:pt x="388942" y="113978"/>
                    <a:pt x="437882" y="87576"/>
                    <a:pt x="511291" y="87576"/>
                  </a:cubicBezTo>
                  <a:cubicBezTo>
                    <a:pt x="585345" y="87576"/>
                    <a:pt x="632997" y="113978"/>
                    <a:pt x="632997" y="192539"/>
                  </a:cubicBezTo>
                  <a:close/>
                  <a:moveTo>
                    <a:pt x="556367" y="152615"/>
                  </a:moveTo>
                  <a:cubicBezTo>
                    <a:pt x="547996" y="140380"/>
                    <a:pt x="529966" y="135228"/>
                    <a:pt x="510647" y="135228"/>
                  </a:cubicBezTo>
                  <a:cubicBezTo>
                    <a:pt x="491329" y="135228"/>
                    <a:pt x="473299" y="141024"/>
                    <a:pt x="465571" y="152615"/>
                  </a:cubicBezTo>
                  <a:lnTo>
                    <a:pt x="556367" y="152615"/>
                  </a:lnTo>
                  <a:close/>
                  <a:moveTo>
                    <a:pt x="1041901" y="186744"/>
                  </a:moveTo>
                  <a:cubicBezTo>
                    <a:pt x="1028378" y="199622"/>
                    <a:pt x="1006484" y="208638"/>
                    <a:pt x="985878" y="208638"/>
                  </a:cubicBezTo>
                  <a:cubicBezTo>
                    <a:pt x="954325" y="208638"/>
                    <a:pt x="943377" y="195759"/>
                    <a:pt x="943377" y="165493"/>
                  </a:cubicBezTo>
                  <a:lnTo>
                    <a:pt x="943377" y="92084"/>
                  </a:lnTo>
                  <a:lnTo>
                    <a:pt x="870612" y="92084"/>
                  </a:lnTo>
                  <a:lnTo>
                    <a:pt x="870612" y="194471"/>
                  </a:lnTo>
                  <a:cubicBezTo>
                    <a:pt x="870612" y="257577"/>
                    <a:pt x="918264" y="269812"/>
                    <a:pt x="957544" y="269812"/>
                  </a:cubicBezTo>
                  <a:cubicBezTo>
                    <a:pt x="994249" y="269812"/>
                    <a:pt x="1021295" y="258221"/>
                    <a:pt x="1041901" y="243411"/>
                  </a:cubicBezTo>
                  <a:lnTo>
                    <a:pt x="1041901" y="268524"/>
                  </a:lnTo>
                  <a:lnTo>
                    <a:pt x="1114667" y="268524"/>
                  </a:lnTo>
                  <a:lnTo>
                    <a:pt x="1114667" y="91440"/>
                  </a:lnTo>
                  <a:lnTo>
                    <a:pt x="1041901" y="91440"/>
                  </a:lnTo>
                  <a:lnTo>
                    <a:pt x="1041901" y="186744"/>
                  </a:lnTo>
                  <a:close/>
                  <a:moveTo>
                    <a:pt x="1457888" y="89508"/>
                  </a:moveTo>
                  <a:cubicBezTo>
                    <a:pt x="1414744" y="89508"/>
                    <a:pt x="1388987" y="103031"/>
                    <a:pt x="1371600" y="123637"/>
                  </a:cubicBezTo>
                  <a:cubicBezTo>
                    <a:pt x="1357433" y="97879"/>
                    <a:pt x="1327168" y="89508"/>
                    <a:pt x="1305274" y="89508"/>
                  </a:cubicBezTo>
                  <a:cubicBezTo>
                    <a:pt x="1262130" y="89508"/>
                    <a:pt x="1241523" y="106895"/>
                    <a:pt x="1225425" y="121705"/>
                  </a:cubicBezTo>
                  <a:lnTo>
                    <a:pt x="1225425" y="92084"/>
                  </a:lnTo>
                  <a:lnTo>
                    <a:pt x="1152659" y="92084"/>
                  </a:lnTo>
                  <a:lnTo>
                    <a:pt x="1152659" y="269168"/>
                  </a:lnTo>
                  <a:lnTo>
                    <a:pt x="1225425" y="269168"/>
                  </a:lnTo>
                  <a:lnTo>
                    <a:pt x="1225425" y="173865"/>
                  </a:lnTo>
                  <a:cubicBezTo>
                    <a:pt x="1240236" y="159054"/>
                    <a:pt x="1255690" y="151327"/>
                    <a:pt x="1273721" y="151327"/>
                  </a:cubicBezTo>
                  <a:cubicBezTo>
                    <a:pt x="1299478" y="151327"/>
                    <a:pt x="1307850" y="164206"/>
                    <a:pt x="1307850" y="194471"/>
                  </a:cubicBezTo>
                  <a:lnTo>
                    <a:pt x="1307850" y="269168"/>
                  </a:lnTo>
                  <a:lnTo>
                    <a:pt x="1380615" y="269168"/>
                  </a:lnTo>
                  <a:lnTo>
                    <a:pt x="1380615" y="171933"/>
                  </a:lnTo>
                  <a:cubicBezTo>
                    <a:pt x="1395426" y="157122"/>
                    <a:pt x="1408305" y="151327"/>
                    <a:pt x="1426335" y="151327"/>
                  </a:cubicBezTo>
                  <a:cubicBezTo>
                    <a:pt x="1452093" y="151327"/>
                    <a:pt x="1460464" y="164206"/>
                    <a:pt x="1460464" y="194471"/>
                  </a:cubicBezTo>
                  <a:lnTo>
                    <a:pt x="1460464" y="269168"/>
                  </a:lnTo>
                  <a:lnTo>
                    <a:pt x="1533230" y="269168"/>
                  </a:lnTo>
                  <a:lnTo>
                    <a:pt x="1533230" y="162918"/>
                  </a:lnTo>
                  <a:cubicBezTo>
                    <a:pt x="1533230" y="101743"/>
                    <a:pt x="1488798" y="89508"/>
                    <a:pt x="1457888" y="89508"/>
                  </a:cubicBezTo>
                  <a:close/>
                  <a:moveTo>
                    <a:pt x="0" y="92084"/>
                  </a:moveTo>
                  <a:lnTo>
                    <a:pt x="0" y="269168"/>
                  </a:lnTo>
                  <a:lnTo>
                    <a:pt x="72766" y="269168"/>
                  </a:lnTo>
                  <a:lnTo>
                    <a:pt x="72766" y="92084"/>
                  </a:lnTo>
                  <a:lnTo>
                    <a:pt x="0" y="92084"/>
                  </a:lnTo>
                  <a:close/>
                  <a:moveTo>
                    <a:pt x="72766" y="0"/>
                  </a:moveTo>
                  <a:lnTo>
                    <a:pt x="0" y="0"/>
                  </a:lnTo>
                  <a:lnTo>
                    <a:pt x="0" y="72766"/>
                  </a:lnTo>
                  <a:lnTo>
                    <a:pt x="72766" y="72766"/>
                  </a:lnTo>
                  <a:lnTo>
                    <a:pt x="72766" y="0"/>
                  </a:lnTo>
                  <a:close/>
                </a:path>
              </a:pathLst>
            </a:custGeom>
            <a:solidFill>
              <a:srgbClr val="232D4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  <xdr:sp macro="" textlink="">
          <xdr:nvSpPr>
            <xdr:cNvPr id="11" name="Forme libre : forme 20">
              <a:extLst>
                <a:ext uri="{FF2B5EF4-FFF2-40B4-BE49-F238E27FC236}">
                  <a16:creationId xmlns:a16="http://schemas.microsoft.com/office/drawing/2014/main" id="{437E10AC-8403-41ED-B076-2679700A473F}"/>
                </a:ext>
              </a:extLst>
            </xdr:cNvPr>
            <xdr:cNvSpPr/>
          </xdr:nvSpPr>
          <xdr:spPr>
            <a:xfrm>
              <a:off x="15119439" y="697487"/>
              <a:ext cx="218296" cy="218940"/>
            </a:xfrm>
            <a:custGeom>
              <a:avLst/>
              <a:gdLst>
                <a:gd name="connsiteX0" fmla="*/ 72766 w 218296"/>
                <a:gd name="connsiteY0" fmla="*/ 0 h 218940"/>
                <a:gd name="connsiteX1" fmla="*/ 72766 w 218296"/>
                <a:gd name="connsiteY1" fmla="*/ 72766 h 218940"/>
                <a:gd name="connsiteX2" fmla="*/ 145531 w 218296"/>
                <a:gd name="connsiteY2" fmla="*/ 72766 h 218940"/>
                <a:gd name="connsiteX3" fmla="*/ 145531 w 218296"/>
                <a:gd name="connsiteY3" fmla="*/ 145531 h 218940"/>
                <a:gd name="connsiteX4" fmla="*/ 218297 w 218296"/>
                <a:gd name="connsiteY4" fmla="*/ 145531 h 218940"/>
                <a:gd name="connsiteX5" fmla="*/ 218297 w 218296"/>
                <a:gd name="connsiteY5" fmla="*/ 0 h 218940"/>
                <a:gd name="connsiteX6" fmla="*/ 72766 w 218296"/>
                <a:gd name="connsiteY6" fmla="*/ 0 h 218940"/>
                <a:gd name="connsiteX7" fmla="*/ 72766 w 218296"/>
                <a:gd name="connsiteY7" fmla="*/ 146175 h 218940"/>
                <a:gd name="connsiteX8" fmla="*/ 0 w 218296"/>
                <a:gd name="connsiteY8" fmla="*/ 146175 h 218940"/>
                <a:gd name="connsiteX9" fmla="*/ 0 w 218296"/>
                <a:gd name="connsiteY9" fmla="*/ 218941 h 218940"/>
                <a:gd name="connsiteX10" fmla="*/ 72766 w 218296"/>
                <a:gd name="connsiteY10" fmla="*/ 218941 h 218940"/>
                <a:gd name="connsiteX11" fmla="*/ 72766 w 218296"/>
                <a:gd name="connsiteY11" fmla="*/ 146175 h 2189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218296" h="218940">
                  <a:moveTo>
                    <a:pt x="72766" y="0"/>
                  </a:moveTo>
                  <a:lnTo>
                    <a:pt x="72766" y="72766"/>
                  </a:lnTo>
                  <a:lnTo>
                    <a:pt x="145531" y="72766"/>
                  </a:lnTo>
                  <a:lnTo>
                    <a:pt x="145531" y="145531"/>
                  </a:lnTo>
                  <a:lnTo>
                    <a:pt x="218297" y="145531"/>
                  </a:lnTo>
                  <a:lnTo>
                    <a:pt x="218297" y="0"/>
                  </a:lnTo>
                  <a:lnTo>
                    <a:pt x="72766" y="0"/>
                  </a:lnTo>
                  <a:close/>
                  <a:moveTo>
                    <a:pt x="72766" y="146175"/>
                  </a:moveTo>
                  <a:lnTo>
                    <a:pt x="0" y="146175"/>
                  </a:lnTo>
                  <a:lnTo>
                    <a:pt x="0" y="218941"/>
                  </a:lnTo>
                  <a:lnTo>
                    <a:pt x="72766" y="218941"/>
                  </a:lnTo>
                  <a:lnTo>
                    <a:pt x="72766" y="146175"/>
                  </a:lnTo>
                  <a:close/>
                </a:path>
              </a:pathLst>
            </a:custGeom>
            <a:solidFill>
              <a:srgbClr val="00AA9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</xdr:grp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134471</xdr:colOff>
      <xdr:row>1</xdr:row>
      <xdr:rowOff>164352</xdr:rowOff>
    </xdr:from>
    <xdr:to>
      <xdr:col>1</xdr:col>
      <xdr:colOff>1942122</xdr:colOff>
      <xdr:row>4</xdr:row>
      <xdr:rowOff>50879</xdr:rowOff>
    </xdr:to>
    <xdr:grpSp>
      <xdr:nvGrpSpPr>
        <xdr:cNvPr id="7" name="Graphique 9">
          <a:extLst>
            <a:ext uri="{FF2B5EF4-FFF2-40B4-BE49-F238E27FC236}">
              <a16:creationId xmlns:a16="http://schemas.microsoft.com/office/drawing/2014/main" id="{AAE783E6-C612-4D8B-982D-B51B1AE36B7D}"/>
            </a:ext>
          </a:extLst>
        </xdr:cNvPr>
        <xdr:cNvGrpSpPr>
          <a:grpSpLocks noChangeAspect="1"/>
        </xdr:cNvGrpSpPr>
      </xdr:nvGrpSpPr>
      <xdr:grpSpPr>
        <a:xfrm>
          <a:off x="496421" y="345327"/>
          <a:ext cx="1807651" cy="581852"/>
          <a:chOff x="13512800" y="647260"/>
          <a:chExt cx="1824935" cy="432728"/>
        </a:xfrm>
      </xdr:grpSpPr>
      <xdr:sp macro="" textlink="">
        <xdr:nvSpPr>
          <xdr:cNvPr id="8" name="Forme libre : forme 17">
            <a:extLst>
              <a:ext uri="{FF2B5EF4-FFF2-40B4-BE49-F238E27FC236}">
                <a16:creationId xmlns:a16="http://schemas.microsoft.com/office/drawing/2014/main" id="{4D99EEB7-02AC-49C8-9D46-793A4EFCDBD7}"/>
              </a:ext>
            </a:extLst>
          </xdr:cNvPr>
          <xdr:cNvSpPr/>
        </xdr:nvSpPr>
        <xdr:spPr>
          <a:xfrm>
            <a:off x="13798067" y="988549"/>
            <a:ext cx="1254402" cy="91439"/>
          </a:xfrm>
          <a:custGeom>
            <a:avLst/>
            <a:gdLst>
              <a:gd name="connsiteX0" fmla="*/ 70834 w 1254402"/>
              <a:gd name="connsiteY0" fmla="*/ 31553 h 91439"/>
              <a:gd name="connsiteX1" fmla="*/ 47652 w 1254402"/>
              <a:gd name="connsiteY1" fmla="*/ 53447 h 91439"/>
              <a:gd name="connsiteX2" fmla="*/ 15455 w 1254402"/>
              <a:gd name="connsiteY2" fmla="*/ 53447 h 91439"/>
              <a:gd name="connsiteX3" fmla="*/ 15455 w 1254402"/>
              <a:gd name="connsiteY3" fmla="*/ 69546 h 91439"/>
              <a:gd name="connsiteX4" fmla="*/ 0 w 1254402"/>
              <a:gd name="connsiteY4" fmla="*/ 69546 h 91439"/>
              <a:gd name="connsiteX5" fmla="*/ 0 w 1254402"/>
              <a:gd name="connsiteY5" fmla="*/ 9015 h 91439"/>
              <a:gd name="connsiteX6" fmla="*/ 47652 w 1254402"/>
              <a:gd name="connsiteY6" fmla="*/ 9015 h 91439"/>
              <a:gd name="connsiteX7" fmla="*/ 70834 w 1254402"/>
              <a:gd name="connsiteY7" fmla="*/ 31553 h 91439"/>
              <a:gd name="connsiteX8" fmla="*/ 55379 w 1254402"/>
              <a:gd name="connsiteY8" fmla="*/ 31553 h 91439"/>
              <a:gd name="connsiteX9" fmla="*/ 43788 w 1254402"/>
              <a:gd name="connsiteY9" fmla="*/ 22538 h 91439"/>
              <a:gd name="connsiteX10" fmla="*/ 16099 w 1254402"/>
              <a:gd name="connsiteY10" fmla="*/ 22538 h 91439"/>
              <a:gd name="connsiteX11" fmla="*/ 16099 w 1254402"/>
              <a:gd name="connsiteY11" fmla="*/ 40568 h 91439"/>
              <a:gd name="connsiteX12" fmla="*/ 43144 w 1254402"/>
              <a:gd name="connsiteY12" fmla="*/ 40568 h 91439"/>
              <a:gd name="connsiteX13" fmla="*/ 55379 w 1254402"/>
              <a:gd name="connsiteY13" fmla="*/ 31553 h 91439"/>
              <a:gd name="connsiteX14" fmla="*/ 79849 w 1254402"/>
              <a:gd name="connsiteY14" fmla="*/ 44432 h 91439"/>
              <a:gd name="connsiteX15" fmla="*/ 115266 w 1254402"/>
              <a:gd name="connsiteY15" fmla="*/ 18030 h 91439"/>
              <a:gd name="connsiteX16" fmla="*/ 150683 w 1254402"/>
              <a:gd name="connsiteY16" fmla="*/ 44432 h 91439"/>
              <a:gd name="connsiteX17" fmla="*/ 115266 w 1254402"/>
              <a:gd name="connsiteY17" fmla="*/ 70834 h 91439"/>
              <a:gd name="connsiteX18" fmla="*/ 79849 w 1254402"/>
              <a:gd name="connsiteY18" fmla="*/ 44432 h 91439"/>
              <a:gd name="connsiteX19" fmla="*/ 135228 w 1254402"/>
              <a:gd name="connsiteY19" fmla="*/ 44432 h 91439"/>
              <a:gd name="connsiteX20" fmla="*/ 114622 w 1254402"/>
              <a:gd name="connsiteY20" fmla="*/ 30265 h 91439"/>
              <a:gd name="connsiteX21" fmla="*/ 94016 w 1254402"/>
              <a:gd name="connsiteY21" fmla="*/ 44432 h 91439"/>
              <a:gd name="connsiteX22" fmla="*/ 114622 w 1254402"/>
              <a:gd name="connsiteY22" fmla="*/ 58599 h 91439"/>
              <a:gd name="connsiteX23" fmla="*/ 135228 w 1254402"/>
              <a:gd name="connsiteY23" fmla="*/ 44432 h 91439"/>
              <a:gd name="connsiteX24" fmla="*/ 173221 w 1254402"/>
              <a:gd name="connsiteY24" fmla="*/ 52159 h 91439"/>
              <a:gd name="connsiteX25" fmla="*/ 195115 w 1254402"/>
              <a:gd name="connsiteY25" fmla="*/ 59887 h 91439"/>
              <a:gd name="connsiteX26" fmla="*/ 213789 w 1254402"/>
              <a:gd name="connsiteY26" fmla="*/ 54735 h 91439"/>
              <a:gd name="connsiteX27" fmla="*/ 193827 w 1254402"/>
              <a:gd name="connsiteY27" fmla="*/ 49584 h 91439"/>
              <a:gd name="connsiteX28" fmla="*/ 160342 w 1254402"/>
              <a:gd name="connsiteY28" fmla="*/ 34129 h 91439"/>
              <a:gd name="connsiteX29" fmla="*/ 193827 w 1254402"/>
              <a:gd name="connsiteY29" fmla="*/ 18674 h 91439"/>
              <a:gd name="connsiteX30" fmla="*/ 226668 w 1254402"/>
              <a:gd name="connsiteY30" fmla="*/ 35417 h 91439"/>
              <a:gd name="connsiteX31" fmla="*/ 211857 w 1254402"/>
              <a:gd name="connsiteY31" fmla="*/ 35417 h 91439"/>
              <a:gd name="connsiteX32" fmla="*/ 192539 w 1254402"/>
              <a:gd name="connsiteY32" fmla="*/ 30265 h 91439"/>
              <a:gd name="connsiteX33" fmla="*/ 174509 w 1254402"/>
              <a:gd name="connsiteY33" fmla="*/ 34129 h 91439"/>
              <a:gd name="connsiteX34" fmla="*/ 194471 w 1254402"/>
              <a:gd name="connsiteY34" fmla="*/ 39281 h 91439"/>
              <a:gd name="connsiteX35" fmla="*/ 227956 w 1254402"/>
              <a:gd name="connsiteY35" fmla="*/ 54735 h 91439"/>
              <a:gd name="connsiteX36" fmla="*/ 195759 w 1254402"/>
              <a:gd name="connsiteY36" fmla="*/ 71478 h 91439"/>
              <a:gd name="connsiteX37" fmla="*/ 158410 w 1254402"/>
              <a:gd name="connsiteY37" fmla="*/ 52803 h 91439"/>
              <a:gd name="connsiteX38" fmla="*/ 173221 w 1254402"/>
              <a:gd name="connsiteY38" fmla="*/ 52803 h 91439"/>
              <a:gd name="connsiteX39" fmla="*/ 254358 w 1254402"/>
              <a:gd name="connsiteY39" fmla="*/ 644 h 91439"/>
              <a:gd name="connsiteX40" fmla="*/ 254358 w 1254402"/>
              <a:gd name="connsiteY40" fmla="*/ 13523 h 91439"/>
              <a:gd name="connsiteX41" fmla="*/ 239547 w 1254402"/>
              <a:gd name="connsiteY41" fmla="*/ 13523 h 91439"/>
              <a:gd name="connsiteX42" fmla="*/ 239547 w 1254402"/>
              <a:gd name="connsiteY42" fmla="*/ 644 h 91439"/>
              <a:gd name="connsiteX43" fmla="*/ 254358 w 1254402"/>
              <a:gd name="connsiteY43" fmla="*/ 644 h 91439"/>
              <a:gd name="connsiteX44" fmla="*/ 254358 w 1254402"/>
              <a:gd name="connsiteY44" fmla="*/ 19318 h 91439"/>
              <a:gd name="connsiteX45" fmla="*/ 254358 w 1254402"/>
              <a:gd name="connsiteY45" fmla="*/ 70190 h 91439"/>
              <a:gd name="connsiteX46" fmla="*/ 239547 w 1254402"/>
              <a:gd name="connsiteY46" fmla="*/ 70190 h 91439"/>
              <a:gd name="connsiteX47" fmla="*/ 239547 w 1254402"/>
              <a:gd name="connsiteY47" fmla="*/ 19318 h 91439"/>
              <a:gd name="connsiteX48" fmla="*/ 254358 w 1254402"/>
              <a:gd name="connsiteY48" fmla="*/ 19318 h 91439"/>
              <a:gd name="connsiteX49" fmla="*/ 292994 w 1254402"/>
              <a:gd name="connsiteY49" fmla="*/ 31553 h 91439"/>
              <a:gd name="connsiteX50" fmla="*/ 292994 w 1254402"/>
              <a:gd name="connsiteY50" fmla="*/ 46364 h 91439"/>
              <a:gd name="connsiteX51" fmla="*/ 303941 w 1254402"/>
              <a:gd name="connsiteY51" fmla="*/ 58599 h 91439"/>
              <a:gd name="connsiteX52" fmla="*/ 316820 w 1254402"/>
              <a:gd name="connsiteY52" fmla="*/ 57955 h 91439"/>
              <a:gd name="connsiteX53" fmla="*/ 316820 w 1254402"/>
              <a:gd name="connsiteY53" fmla="*/ 69546 h 91439"/>
              <a:gd name="connsiteX54" fmla="*/ 299434 w 1254402"/>
              <a:gd name="connsiteY54" fmla="*/ 70834 h 91439"/>
              <a:gd name="connsiteX55" fmla="*/ 278184 w 1254402"/>
              <a:gd name="connsiteY55" fmla="*/ 54735 h 91439"/>
              <a:gd name="connsiteX56" fmla="*/ 278184 w 1254402"/>
              <a:gd name="connsiteY56" fmla="*/ 31553 h 91439"/>
              <a:gd name="connsiteX57" fmla="*/ 264661 w 1254402"/>
              <a:gd name="connsiteY57" fmla="*/ 31553 h 91439"/>
              <a:gd name="connsiteX58" fmla="*/ 264661 w 1254402"/>
              <a:gd name="connsiteY58" fmla="*/ 19318 h 91439"/>
              <a:gd name="connsiteX59" fmla="*/ 278184 w 1254402"/>
              <a:gd name="connsiteY59" fmla="*/ 19318 h 91439"/>
              <a:gd name="connsiteX60" fmla="*/ 278184 w 1254402"/>
              <a:gd name="connsiteY60" fmla="*/ 9015 h 91439"/>
              <a:gd name="connsiteX61" fmla="*/ 292994 w 1254402"/>
              <a:gd name="connsiteY61" fmla="*/ 4508 h 91439"/>
              <a:gd name="connsiteX62" fmla="*/ 292994 w 1254402"/>
              <a:gd name="connsiteY62" fmla="*/ 19318 h 91439"/>
              <a:gd name="connsiteX63" fmla="*/ 316820 w 1254402"/>
              <a:gd name="connsiteY63" fmla="*/ 19318 h 91439"/>
              <a:gd name="connsiteX64" fmla="*/ 316820 w 1254402"/>
              <a:gd name="connsiteY64" fmla="*/ 31553 h 91439"/>
              <a:gd name="connsiteX65" fmla="*/ 292994 w 1254402"/>
              <a:gd name="connsiteY65" fmla="*/ 31553 h 91439"/>
              <a:gd name="connsiteX66" fmla="*/ 342578 w 1254402"/>
              <a:gd name="connsiteY66" fmla="*/ 644 h 91439"/>
              <a:gd name="connsiteX67" fmla="*/ 342578 w 1254402"/>
              <a:gd name="connsiteY67" fmla="*/ 13523 h 91439"/>
              <a:gd name="connsiteX68" fmla="*/ 327767 w 1254402"/>
              <a:gd name="connsiteY68" fmla="*/ 13523 h 91439"/>
              <a:gd name="connsiteX69" fmla="*/ 327767 w 1254402"/>
              <a:gd name="connsiteY69" fmla="*/ 644 h 91439"/>
              <a:gd name="connsiteX70" fmla="*/ 342578 w 1254402"/>
              <a:gd name="connsiteY70" fmla="*/ 644 h 91439"/>
              <a:gd name="connsiteX71" fmla="*/ 342578 w 1254402"/>
              <a:gd name="connsiteY71" fmla="*/ 19318 h 91439"/>
              <a:gd name="connsiteX72" fmla="*/ 342578 w 1254402"/>
              <a:gd name="connsiteY72" fmla="*/ 70190 h 91439"/>
              <a:gd name="connsiteX73" fmla="*/ 327767 w 1254402"/>
              <a:gd name="connsiteY73" fmla="*/ 70190 h 91439"/>
              <a:gd name="connsiteX74" fmla="*/ 327767 w 1254402"/>
              <a:gd name="connsiteY74" fmla="*/ 19318 h 91439"/>
              <a:gd name="connsiteX75" fmla="*/ 342578 w 1254402"/>
              <a:gd name="connsiteY75" fmla="*/ 19318 h 91439"/>
              <a:gd name="connsiteX76" fmla="*/ 424359 w 1254402"/>
              <a:gd name="connsiteY76" fmla="*/ 19318 h 91439"/>
              <a:gd name="connsiteX77" fmla="*/ 398601 w 1254402"/>
              <a:gd name="connsiteY77" fmla="*/ 70190 h 91439"/>
              <a:gd name="connsiteX78" fmla="*/ 377995 w 1254402"/>
              <a:gd name="connsiteY78" fmla="*/ 70190 h 91439"/>
              <a:gd name="connsiteX79" fmla="*/ 352237 w 1254402"/>
              <a:gd name="connsiteY79" fmla="*/ 19318 h 91439"/>
              <a:gd name="connsiteX80" fmla="*/ 368336 w 1254402"/>
              <a:gd name="connsiteY80" fmla="*/ 19318 h 91439"/>
              <a:gd name="connsiteX81" fmla="*/ 388298 w 1254402"/>
              <a:gd name="connsiteY81" fmla="*/ 59887 h 91439"/>
              <a:gd name="connsiteX82" fmla="*/ 408260 w 1254402"/>
              <a:gd name="connsiteY82" fmla="*/ 19318 h 91439"/>
              <a:gd name="connsiteX83" fmla="*/ 424359 w 1254402"/>
              <a:gd name="connsiteY83" fmla="*/ 19318 h 91439"/>
              <a:gd name="connsiteX84" fmla="*/ 481670 w 1254402"/>
              <a:gd name="connsiteY84" fmla="*/ 51515 h 91439"/>
              <a:gd name="connsiteX85" fmla="*/ 496481 w 1254402"/>
              <a:gd name="connsiteY85" fmla="*/ 51515 h 91439"/>
              <a:gd name="connsiteX86" fmla="*/ 461708 w 1254402"/>
              <a:gd name="connsiteY86" fmla="*/ 70834 h 91439"/>
              <a:gd name="connsiteX87" fmla="*/ 427579 w 1254402"/>
              <a:gd name="connsiteY87" fmla="*/ 44432 h 91439"/>
              <a:gd name="connsiteX88" fmla="*/ 462995 w 1254402"/>
              <a:gd name="connsiteY88" fmla="*/ 18030 h 91439"/>
              <a:gd name="connsiteX89" fmla="*/ 497768 w 1254402"/>
              <a:gd name="connsiteY89" fmla="*/ 47652 h 91439"/>
              <a:gd name="connsiteX90" fmla="*/ 442389 w 1254402"/>
              <a:gd name="connsiteY90" fmla="*/ 47652 h 91439"/>
              <a:gd name="connsiteX91" fmla="*/ 461708 w 1254402"/>
              <a:gd name="connsiteY91" fmla="*/ 58599 h 91439"/>
              <a:gd name="connsiteX92" fmla="*/ 481670 w 1254402"/>
              <a:gd name="connsiteY92" fmla="*/ 51515 h 91439"/>
              <a:gd name="connsiteX93" fmla="*/ 442389 w 1254402"/>
              <a:gd name="connsiteY93" fmla="*/ 38637 h 91439"/>
              <a:gd name="connsiteX94" fmla="*/ 481026 w 1254402"/>
              <a:gd name="connsiteY94" fmla="*/ 38637 h 91439"/>
              <a:gd name="connsiteX95" fmla="*/ 461708 w 1254402"/>
              <a:gd name="connsiteY95" fmla="*/ 29621 h 91439"/>
              <a:gd name="connsiteX96" fmla="*/ 442389 w 1254402"/>
              <a:gd name="connsiteY96" fmla="*/ 38637 h 91439"/>
              <a:gd name="connsiteX97" fmla="*/ 622694 w 1254402"/>
              <a:gd name="connsiteY97" fmla="*/ 644 h 91439"/>
              <a:gd name="connsiteX98" fmla="*/ 622694 w 1254402"/>
              <a:gd name="connsiteY98" fmla="*/ 69546 h 91439"/>
              <a:gd name="connsiteX99" fmla="*/ 607883 w 1254402"/>
              <a:gd name="connsiteY99" fmla="*/ 69546 h 91439"/>
              <a:gd name="connsiteX100" fmla="*/ 607883 w 1254402"/>
              <a:gd name="connsiteY100" fmla="*/ 61819 h 91439"/>
              <a:gd name="connsiteX101" fmla="*/ 582769 w 1254402"/>
              <a:gd name="connsiteY101" fmla="*/ 70834 h 91439"/>
              <a:gd name="connsiteX102" fmla="*/ 552504 w 1254402"/>
              <a:gd name="connsiteY102" fmla="*/ 44432 h 91439"/>
              <a:gd name="connsiteX103" fmla="*/ 582769 w 1254402"/>
              <a:gd name="connsiteY103" fmla="*/ 18030 h 91439"/>
              <a:gd name="connsiteX104" fmla="*/ 607883 w 1254402"/>
              <a:gd name="connsiteY104" fmla="*/ 27046 h 91439"/>
              <a:gd name="connsiteX105" fmla="*/ 607883 w 1254402"/>
              <a:gd name="connsiteY105" fmla="*/ 644 h 91439"/>
              <a:gd name="connsiteX106" fmla="*/ 622694 w 1254402"/>
              <a:gd name="connsiteY106" fmla="*/ 644 h 91439"/>
              <a:gd name="connsiteX107" fmla="*/ 607883 w 1254402"/>
              <a:gd name="connsiteY107" fmla="*/ 44432 h 91439"/>
              <a:gd name="connsiteX108" fmla="*/ 587277 w 1254402"/>
              <a:gd name="connsiteY108" fmla="*/ 30265 h 91439"/>
              <a:gd name="connsiteX109" fmla="*/ 566670 w 1254402"/>
              <a:gd name="connsiteY109" fmla="*/ 44432 h 91439"/>
              <a:gd name="connsiteX110" fmla="*/ 587277 w 1254402"/>
              <a:gd name="connsiteY110" fmla="*/ 58599 h 91439"/>
              <a:gd name="connsiteX111" fmla="*/ 607883 w 1254402"/>
              <a:gd name="connsiteY111" fmla="*/ 44432 h 91439"/>
              <a:gd name="connsiteX112" fmla="*/ 649739 w 1254402"/>
              <a:gd name="connsiteY112" fmla="*/ 644 h 91439"/>
              <a:gd name="connsiteX113" fmla="*/ 649739 w 1254402"/>
              <a:gd name="connsiteY113" fmla="*/ 13523 h 91439"/>
              <a:gd name="connsiteX114" fmla="*/ 634928 w 1254402"/>
              <a:gd name="connsiteY114" fmla="*/ 13523 h 91439"/>
              <a:gd name="connsiteX115" fmla="*/ 634928 w 1254402"/>
              <a:gd name="connsiteY115" fmla="*/ 644 h 91439"/>
              <a:gd name="connsiteX116" fmla="*/ 649739 w 1254402"/>
              <a:gd name="connsiteY116" fmla="*/ 644 h 91439"/>
              <a:gd name="connsiteX117" fmla="*/ 649739 w 1254402"/>
              <a:gd name="connsiteY117" fmla="*/ 19318 h 91439"/>
              <a:gd name="connsiteX118" fmla="*/ 649739 w 1254402"/>
              <a:gd name="connsiteY118" fmla="*/ 70190 h 91439"/>
              <a:gd name="connsiteX119" fmla="*/ 634928 w 1254402"/>
              <a:gd name="connsiteY119" fmla="*/ 70190 h 91439"/>
              <a:gd name="connsiteX120" fmla="*/ 634928 w 1254402"/>
              <a:gd name="connsiteY120" fmla="*/ 19318 h 91439"/>
              <a:gd name="connsiteX121" fmla="*/ 649739 w 1254402"/>
              <a:gd name="connsiteY121" fmla="*/ 19318 h 91439"/>
              <a:gd name="connsiteX122" fmla="*/ 730876 w 1254402"/>
              <a:gd name="connsiteY122" fmla="*/ 19318 h 91439"/>
              <a:gd name="connsiteX123" fmla="*/ 730876 w 1254402"/>
              <a:gd name="connsiteY123" fmla="*/ 61819 h 91439"/>
              <a:gd name="connsiteX124" fmla="*/ 698035 w 1254402"/>
              <a:gd name="connsiteY124" fmla="*/ 91440 h 91439"/>
              <a:gd name="connsiteX125" fmla="*/ 666482 w 1254402"/>
              <a:gd name="connsiteY125" fmla="*/ 87576 h 91439"/>
              <a:gd name="connsiteX126" fmla="*/ 666482 w 1254402"/>
              <a:gd name="connsiteY126" fmla="*/ 75985 h 91439"/>
              <a:gd name="connsiteX127" fmla="*/ 694815 w 1254402"/>
              <a:gd name="connsiteY127" fmla="*/ 79849 h 91439"/>
              <a:gd name="connsiteX128" fmla="*/ 716065 w 1254402"/>
              <a:gd name="connsiteY128" fmla="*/ 61175 h 91439"/>
              <a:gd name="connsiteX129" fmla="*/ 690308 w 1254402"/>
              <a:gd name="connsiteY129" fmla="*/ 70190 h 91439"/>
              <a:gd name="connsiteX130" fmla="*/ 660686 w 1254402"/>
              <a:gd name="connsiteY130" fmla="*/ 44432 h 91439"/>
              <a:gd name="connsiteX131" fmla="*/ 690308 w 1254402"/>
              <a:gd name="connsiteY131" fmla="*/ 18674 h 91439"/>
              <a:gd name="connsiteX132" fmla="*/ 716065 w 1254402"/>
              <a:gd name="connsiteY132" fmla="*/ 27690 h 91439"/>
              <a:gd name="connsiteX133" fmla="*/ 716065 w 1254402"/>
              <a:gd name="connsiteY133" fmla="*/ 19318 h 91439"/>
              <a:gd name="connsiteX134" fmla="*/ 730876 w 1254402"/>
              <a:gd name="connsiteY134" fmla="*/ 19318 h 91439"/>
              <a:gd name="connsiteX135" fmla="*/ 715421 w 1254402"/>
              <a:gd name="connsiteY135" fmla="*/ 43788 h 91439"/>
              <a:gd name="connsiteX136" fmla="*/ 694815 w 1254402"/>
              <a:gd name="connsiteY136" fmla="*/ 30909 h 91439"/>
              <a:gd name="connsiteX137" fmla="*/ 674209 w 1254402"/>
              <a:gd name="connsiteY137" fmla="*/ 43788 h 91439"/>
              <a:gd name="connsiteX138" fmla="*/ 694815 w 1254402"/>
              <a:gd name="connsiteY138" fmla="*/ 56667 h 91439"/>
              <a:gd name="connsiteX139" fmla="*/ 715421 w 1254402"/>
              <a:gd name="connsiteY139" fmla="*/ 43788 h 91439"/>
              <a:gd name="connsiteX140" fmla="*/ 757278 w 1254402"/>
              <a:gd name="connsiteY140" fmla="*/ 644 h 91439"/>
              <a:gd name="connsiteX141" fmla="*/ 757278 w 1254402"/>
              <a:gd name="connsiteY141" fmla="*/ 13523 h 91439"/>
              <a:gd name="connsiteX142" fmla="*/ 742467 w 1254402"/>
              <a:gd name="connsiteY142" fmla="*/ 13523 h 91439"/>
              <a:gd name="connsiteX143" fmla="*/ 742467 w 1254402"/>
              <a:gd name="connsiteY143" fmla="*/ 644 h 91439"/>
              <a:gd name="connsiteX144" fmla="*/ 757278 w 1254402"/>
              <a:gd name="connsiteY144" fmla="*/ 644 h 91439"/>
              <a:gd name="connsiteX145" fmla="*/ 757278 w 1254402"/>
              <a:gd name="connsiteY145" fmla="*/ 19318 h 91439"/>
              <a:gd name="connsiteX146" fmla="*/ 757278 w 1254402"/>
              <a:gd name="connsiteY146" fmla="*/ 70190 h 91439"/>
              <a:gd name="connsiteX147" fmla="*/ 742467 w 1254402"/>
              <a:gd name="connsiteY147" fmla="*/ 70190 h 91439"/>
              <a:gd name="connsiteX148" fmla="*/ 742467 w 1254402"/>
              <a:gd name="connsiteY148" fmla="*/ 19318 h 91439"/>
              <a:gd name="connsiteX149" fmla="*/ 757278 w 1254402"/>
              <a:gd name="connsiteY149" fmla="*/ 19318 h 91439"/>
              <a:gd name="connsiteX150" fmla="*/ 795914 w 1254402"/>
              <a:gd name="connsiteY150" fmla="*/ 31553 h 91439"/>
              <a:gd name="connsiteX151" fmla="*/ 795914 w 1254402"/>
              <a:gd name="connsiteY151" fmla="*/ 46364 h 91439"/>
              <a:gd name="connsiteX152" fmla="*/ 806861 w 1254402"/>
              <a:gd name="connsiteY152" fmla="*/ 58599 h 91439"/>
              <a:gd name="connsiteX153" fmla="*/ 819740 w 1254402"/>
              <a:gd name="connsiteY153" fmla="*/ 57955 h 91439"/>
              <a:gd name="connsiteX154" fmla="*/ 819740 w 1254402"/>
              <a:gd name="connsiteY154" fmla="*/ 69546 h 91439"/>
              <a:gd name="connsiteX155" fmla="*/ 802354 w 1254402"/>
              <a:gd name="connsiteY155" fmla="*/ 70834 h 91439"/>
              <a:gd name="connsiteX156" fmla="*/ 781104 w 1254402"/>
              <a:gd name="connsiteY156" fmla="*/ 54735 h 91439"/>
              <a:gd name="connsiteX157" fmla="*/ 781104 w 1254402"/>
              <a:gd name="connsiteY157" fmla="*/ 31553 h 91439"/>
              <a:gd name="connsiteX158" fmla="*/ 767581 w 1254402"/>
              <a:gd name="connsiteY158" fmla="*/ 31553 h 91439"/>
              <a:gd name="connsiteX159" fmla="*/ 767581 w 1254402"/>
              <a:gd name="connsiteY159" fmla="*/ 19318 h 91439"/>
              <a:gd name="connsiteX160" fmla="*/ 781104 w 1254402"/>
              <a:gd name="connsiteY160" fmla="*/ 19318 h 91439"/>
              <a:gd name="connsiteX161" fmla="*/ 781104 w 1254402"/>
              <a:gd name="connsiteY161" fmla="*/ 9015 h 91439"/>
              <a:gd name="connsiteX162" fmla="*/ 795914 w 1254402"/>
              <a:gd name="connsiteY162" fmla="*/ 4508 h 91439"/>
              <a:gd name="connsiteX163" fmla="*/ 795914 w 1254402"/>
              <a:gd name="connsiteY163" fmla="*/ 19318 h 91439"/>
              <a:gd name="connsiteX164" fmla="*/ 819740 w 1254402"/>
              <a:gd name="connsiteY164" fmla="*/ 19318 h 91439"/>
              <a:gd name="connsiteX165" fmla="*/ 819740 w 1254402"/>
              <a:gd name="connsiteY165" fmla="*/ 31553 h 91439"/>
              <a:gd name="connsiteX166" fmla="*/ 795914 w 1254402"/>
              <a:gd name="connsiteY166" fmla="*/ 31553 h 91439"/>
              <a:gd name="connsiteX167" fmla="*/ 898301 w 1254402"/>
              <a:gd name="connsiteY167" fmla="*/ 44432 h 91439"/>
              <a:gd name="connsiteX168" fmla="*/ 898301 w 1254402"/>
              <a:gd name="connsiteY168" fmla="*/ 70190 h 91439"/>
              <a:gd name="connsiteX169" fmla="*/ 883491 w 1254402"/>
              <a:gd name="connsiteY169" fmla="*/ 70190 h 91439"/>
              <a:gd name="connsiteX170" fmla="*/ 883491 w 1254402"/>
              <a:gd name="connsiteY170" fmla="*/ 63750 h 91439"/>
              <a:gd name="connsiteX171" fmla="*/ 852581 w 1254402"/>
              <a:gd name="connsiteY171" fmla="*/ 70834 h 91439"/>
              <a:gd name="connsiteX172" fmla="*/ 829400 w 1254402"/>
              <a:gd name="connsiteY172" fmla="*/ 54735 h 91439"/>
              <a:gd name="connsiteX173" fmla="*/ 860309 w 1254402"/>
              <a:gd name="connsiteY173" fmla="*/ 37349 h 91439"/>
              <a:gd name="connsiteX174" fmla="*/ 883491 w 1254402"/>
              <a:gd name="connsiteY174" fmla="*/ 41212 h 91439"/>
              <a:gd name="connsiteX175" fmla="*/ 864172 w 1254402"/>
              <a:gd name="connsiteY175" fmla="*/ 30909 h 91439"/>
              <a:gd name="connsiteX176" fmla="*/ 839059 w 1254402"/>
              <a:gd name="connsiteY176" fmla="*/ 34773 h 91439"/>
              <a:gd name="connsiteX177" fmla="*/ 833907 w 1254402"/>
              <a:gd name="connsiteY177" fmla="*/ 23826 h 91439"/>
              <a:gd name="connsiteX178" fmla="*/ 864816 w 1254402"/>
              <a:gd name="connsiteY178" fmla="*/ 18674 h 91439"/>
              <a:gd name="connsiteX179" fmla="*/ 898301 w 1254402"/>
              <a:gd name="connsiteY179" fmla="*/ 44432 h 91439"/>
              <a:gd name="connsiteX180" fmla="*/ 883491 w 1254402"/>
              <a:gd name="connsiteY180" fmla="*/ 50228 h 91439"/>
              <a:gd name="connsiteX181" fmla="*/ 862241 w 1254402"/>
              <a:gd name="connsiteY181" fmla="*/ 47008 h 91439"/>
              <a:gd name="connsiteX182" fmla="*/ 844854 w 1254402"/>
              <a:gd name="connsiteY182" fmla="*/ 54091 h 91439"/>
              <a:gd name="connsiteX183" fmla="*/ 857733 w 1254402"/>
              <a:gd name="connsiteY183" fmla="*/ 59887 h 91439"/>
              <a:gd name="connsiteX184" fmla="*/ 884135 w 1254402"/>
              <a:gd name="connsiteY184" fmla="*/ 54091 h 91439"/>
              <a:gd name="connsiteX185" fmla="*/ 884135 w 1254402"/>
              <a:gd name="connsiteY185" fmla="*/ 50228 h 91439"/>
              <a:gd name="connsiteX186" fmla="*/ 925347 w 1254402"/>
              <a:gd name="connsiteY186" fmla="*/ 644 h 91439"/>
              <a:gd name="connsiteX187" fmla="*/ 925347 w 1254402"/>
              <a:gd name="connsiteY187" fmla="*/ 69546 h 91439"/>
              <a:gd name="connsiteX188" fmla="*/ 910536 w 1254402"/>
              <a:gd name="connsiteY188" fmla="*/ 69546 h 91439"/>
              <a:gd name="connsiteX189" fmla="*/ 910536 w 1254402"/>
              <a:gd name="connsiteY189" fmla="*/ 644 h 91439"/>
              <a:gd name="connsiteX190" fmla="*/ 925347 w 1254402"/>
              <a:gd name="connsiteY190" fmla="*/ 644 h 91439"/>
              <a:gd name="connsiteX191" fmla="*/ 1009704 w 1254402"/>
              <a:gd name="connsiteY191" fmla="*/ 19318 h 91439"/>
              <a:gd name="connsiteX192" fmla="*/ 1030954 w 1254402"/>
              <a:gd name="connsiteY192" fmla="*/ 19318 h 91439"/>
              <a:gd name="connsiteX193" fmla="*/ 1030954 w 1254402"/>
              <a:gd name="connsiteY193" fmla="*/ 31553 h 91439"/>
              <a:gd name="connsiteX194" fmla="*/ 1009704 w 1254402"/>
              <a:gd name="connsiteY194" fmla="*/ 31553 h 91439"/>
              <a:gd name="connsiteX195" fmla="*/ 1009704 w 1254402"/>
              <a:gd name="connsiteY195" fmla="*/ 70190 h 91439"/>
              <a:gd name="connsiteX196" fmla="*/ 994893 w 1254402"/>
              <a:gd name="connsiteY196" fmla="*/ 70190 h 91439"/>
              <a:gd name="connsiteX197" fmla="*/ 994893 w 1254402"/>
              <a:gd name="connsiteY197" fmla="*/ 31553 h 91439"/>
              <a:gd name="connsiteX198" fmla="*/ 981370 w 1254402"/>
              <a:gd name="connsiteY198" fmla="*/ 31553 h 91439"/>
              <a:gd name="connsiteX199" fmla="*/ 981370 w 1254402"/>
              <a:gd name="connsiteY199" fmla="*/ 19318 h 91439"/>
              <a:gd name="connsiteX200" fmla="*/ 994893 w 1254402"/>
              <a:gd name="connsiteY200" fmla="*/ 19318 h 91439"/>
              <a:gd name="connsiteX201" fmla="*/ 994893 w 1254402"/>
              <a:gd name="connsiteY201" fmla="*/ 15455 h 91439"/>
              <a:gd name="connsiteX202" fmla="*/ 1016143 w 1254402"/>
              <a:gd name="connsiteY202" fmla="*/ 0 h 91439"/>
              <a:gd name="connsiteX203" fmla="*/ 1031598 w 1254402"/>
              <a:gd name="connsiteY203" fmla="*/ 644 h 91439"/>
              <a:gd name="connsiteX204" fmla="*/ 1031598 w 1254402"/>
              <a:gd name="connsiteY204" fmla="*/ 10947 h 91439"/>
              <a:gd name="connsiteX205" fmla="*/ 1021295 w 1254402"/>
              <a:gd name="connsiteY205" fmla="*/ 10303 h 91439"/>
              <a:gd name="connsiteX206" fmla="*/ 1009704 w 1254402"/>
              <a:gd name="connsiteY206" fmla="*/ 19318 h 91439"/>
              <a:gd name="connsiteX207" fmla="*/ 1056712 w 1254402"/>
              <a:gd name="connsiteY207" fmla="*/ 644 h 91439"/>
              <a:gd name="connsiteX208" fmla="*/ 1056712 w 1254402"/>
              <a:gd name="connsiteY208" fmla="*/ 69546 h 91439"/>
              <a:gd name="connsiteX209" fmla="*/ 1041901 w 1254402"/>
              <a:gd name="connsiteY209" fmla="*/ 69546 h 91439"/>
              <a:gd name="connsiteX210" fmla="*/ 1041901 w 1254402"/>
              <a:gd name="connsiteY210" fmla="*/ 644 h 91439"/>
              <a:gd name="connsiteX211" fmla="*/ 1056712 w 1254402"/>
              <a:gd name="connsiteY211" fmla="*/ 644 h 91439"/>
              <a:gd name="connsiteX212" fmla="*/ 1067659 w 1254402"/>
              <a:gd name="connsiteY212" fmla="*/ 44432 h 91439"/>
              <a:gd name="connsiteX213" fmla="*/ 1103076 w 1254402"/>
              <a:gd name="connsiteY213" fmla="*/ 18030 h 91439"/>
              <a:gd name="connsiteX214" fmla="*/ 1138493 w 1254402"/>
              <a:gd name="connsiteY214" fmla="*/ 44432 h 91439"/>
              <a:gd name="connsiteX215" fmla="*/ 1103076 w 1254402"/>
              <a:gd name="connsiteY215" fmla="*/ 70834 h 91439"/>
              <a:gd name="connsiteX216" fmla="*/ 1067659 w 1254402"/>
              <a:gd name="connsiteY216" fmla="*/ 44432 h 91439"/>
              <a:gd name="connsiteX217" fmla="*/ 1123038 w 1254402"/>
              <a:gd name="connsiteY217" fmla="*/ 44432 h 91439"/>
              <a:gd name="connsiteX218" fmla="*/ 1102432 w 1254402"/>
              <a:gd name="connsiteY218" fmla="*/ 30265 h 91439"/>
              <a:gd name="connsiteX219" fmla="*/ 1081825 w 1254402"/>
              <a:gd name="connsiteY219" fmla="*/ 44432 h 91439"/>
              <a:gd name="connsiteX220" fmla="*/ 1102432 w 1254402"/>
              <a:gd name="connsiteY220" fmla="*/ 58599 h 91439"/>
              <a:gd name="connsiteX221" fmla="*/ 1123038 w 1254402"/>
              <a:gd name="connsiteY221" fmla="*/ 44432 h 91439"/>
              <a:gd name="connsiteX222" fmla="*/ 1254402 w 1254402"/>
              <a:gd name="connsiteY222" fmla="*/ 19318 h 91439"/>
              <a:gd name="connsiteX223" fmla="*/ 1231864 w 1254402"/>
              <a:gd name="connsiteY223" fmla="*/ 70190 h 91439"/>
              <a:gd name="connsiteX224" fmla="*/ 1211902 w 1254402"/>
              <a:gd name="connsiteY224" fmla="*/ 70190 h 91439"/>
              <a:gd name="connsiteX225" fmla="*/ 1197091 w 1254402"/>
              <a:gd name="connsiteY225" fmla="*/ 34773 h 91439"/>
              <a:gd name="connsiteX226" fmla="*/ 1182281 w 1254402"/>
              <a:gd name="connsiteY226" fmla="*/ 70190 h 91439"/>
              <a:gd name="connsiteX227" fmla="*/ 1162318 w 1254402"/>
              <a:gd name="connsiteY227" fmla="*/ 70190 h 91439"/>
              <a:gd name="connsiteX228" fmla="*/ 1139780 w 1254402"/>
              <a:gd name="connsiteY228" fmla="*/ 19318 h 91439"/>
              <a:gd name="connsiteX229" fmla="*/ 1156523 w 1254402"/>
              <a:gd name="connsiteY229" fmla="*/ 19318 h 91439"/>
              <a:gd name="connsiteX230" fmla="*/ 1173265 w 1254402"/>
              <a:gd name="connsiteY230" fmla="*/ 58599 h 91439"/>
              <a:gd name="connsiteX231" fmla="*/ 1188720 w 1254402"/>
              <a:gd name="connsiteY231" fmla="*/ 19318 h 91439"/>
              <a:gd name="connsiteX232" fmla="*/ 1206107 w 1254402"/>
              <a:gd name="connsiteY232" fmla="*/ 19318 h 91439"/>
              <a:gd name="connsiteX233" fmla="*/ 1221561 w 1254402"/>
              <a:gd name="connsiteY233" fmla="*/ 57955 h 91439"/>
              <a:gd name="connsiteX234" fmla="*/ 1238304 w 1254402"/>
              <a:gd name="connsiteY234" fmla="*/ 18674 h 91439"/>
              <a:gd name="connsiteX235" fmla="*/ 1254402 w 1254402"/>
              <a:gd name="connsiteY235" fmla="*/ 18674 h 914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</a:cxnLst>
            <a:rect l="l" t="t" r="r" b="b"/>
            <a:pathLst>
              <a:path w="1254402" h="91439">
                <a:moveTo>
                  <a:pt x="70834" y="31553"/>
                </a:moveTo>
                <a:cubicBezTo>
                  <a:pt x="70834" y="45076"/>
                  <a:pt x="61175" y="53447"/>
                  <a:pt x="47652" y="53447"/>
                </a:cubicBezTo>
                <a:lnTo>
                  <a:pt x="15455" y="53447"/>
                </a:lnTo>
                <a:lnTo>
                  <a:pt x="15455" y="69546"/>
                </a:lnTo>
                <a:lnTo>
                  <a:pt x="0" y="69546"/>
                </a:lnTo>
                <a:lnTo>
                  <a:pt x="0" y="9015"/>
                </a:lnTo>
                <a:lnTo>
                  <a:pt x="47652" y="9015"/>
                </a:lnTo>
                <a:cubicBezTo>
                  <a:pt x="61175" y="9659"/>
                  <a:pt x="70834" y="18030"/>
                  <a:pt x="70834" y="31553"/>
                </a:cubicBezTo>
                <a:close/>
                <a:moveTo>
                  <a:pt x="55379" y="31553"/>
                </a:moveTo>
                <a:cubicBezTo>
                  <a:pt x="55379" y="22538"/>
                  <a:pt x="48296" y="22538"/>
                  <a:pt x="43788" y="22538"/>
                </a:cubicBezTo>
                <a:lnTo>
                  <a:pt x="16099" y="22538"/>
                </a:lnTo>
                <a:lnTo>
                  <a:pt x="16099" y="40568"/>
                </a:lnTo>
                <a:lnTo>
                  <a:pt x="43144" y="40568"/>
                </a:lnTo>
                <a:cubicBezTo>
                  <a:pt x="48296" y="40568"/>
                  <a:pt x="55379" y="40568"/>
                  <a:pt x="55379" y="31553"/>
                </a:cubicBezTo>
                <a:close/>
                <a:moveTo>
                  <a:pt x="79849" y="44432"/>
                </a:moveTo>
                <a:cubicBezTo>
                  <a:pt x="79849" y="25758"/>
                  <a:pt x="94016" y="18030"/>
                  <a:pt x="115266" y="18030"/>
                </a:cubicBezTo>
                <a:cubicBezTo>
                  <a:pt x="136516" y="18030"/>
                  <a:pt x="150683" y="25758"/>
                  <a:pt x="150683" y="44432"/>
                </a:cubicBezTo>
                <a:cubicBezTo>
                  <a:pt x="150683" y="63106"/>
                  <a:pt x="136516" y="70834"/>
                  <a:pt x="115266" y="70834"/>
                </a:cubicBezTo>
                <a:cubicBezTo>
                  <a:pt x="94016" y="70834"/>
                  <a:pt x="79849" y="63106"/>
                  <a:pt x="79849" y="44432"/>
                </a:cubicBezTo>
                <a:close/>
                <a:moveTo>
                  <a:pt x="135228" y="44432"/>
                </a:moveTo>
                <a:cubicBezTo>
                  <a:pt x="135228" y="34129"/>
                  <a:pt x="128789" y="30265"/>
                  <a:pt x="114622" y="30265"/>
                </a:cubicBezTo>
                <a:cubicBezTo>
                  <a:pt x="101099" y="30265"/>
                  <a:pt x="94016" y="33485"/>
                  <a:pt x="94016" y="44432"/>
                </a:cubicBezTo>
                <a:cubicBezTo>
                  <a:pt x="94016" y="54735"/>
                  <a:pt x="100455" y="58599"/>
                  <a:pt x="114622" y="58599"/>
                </a:cubicBezTo>
                <a:cubicBezTo>
                  <a:pt x="128789" y="58599"/>
                  <a:pt x="135228" y="54735"/>
                  <a:pt x="135228" y="44432"/>
                </a:cubicBezTo>
                <a:close/>
                <a:moveTo>
                  <a:pt x="173221" y="52159"/>
                </a:moveTo>
                <a:cubicBezTo>
                  <a:pt x="173221" y="57311"/>
                  <a:pt x="179016" y="59887"/>
                  <a:pt x="195115" y="59887"/>
                </a:cubicBezTo>
                <a:cubicBezTo>
                  <a:pt x="211214" y="59887"/>
                  <a:pt x="213789" y="58599"/>
                  <a:pt x="213789" y="54735"/>
                </a:cubicBezTo>
                <a:cubicBezTo>
                  <a:pt x="213789" y="50872"/>
                  <a:pt x="211214" y="50872"/>
                  <a:pt x="193827" y="49584"/>
                </a:cubicBezTo>
                <a:cubicBezTo>
                  <a:pt x="171289" y="48296"/>
                  <a:pt x="160342" y="46364"/>
                  <a:pt x="160342" y="34129"/>
                </a:cubicBezTo>
                <a:cubicBezTo>
                  <a:pt x="160342" y="20606"/>
                  <a:pt x="175797" y="18674"/>
                  <a:pt x="193827" y="18674"/>
                </a:cubicBezTo>
                <a:cubicBezTo>
                  <a:pt x="213145" y="18674"/>
                  <a:pt x="226668" y="21250"/>
                  <a:pt x="226668" y="35417"/>
                </a:cubicBezTo>
                <a:lnTo>
                  <a:pt x="211857" y="35417"/>
                </a:lnTo>
                <a:cubicBezTo>
                  <a:pt x="211857" y="30909"/>
                  <a:pt x="206706" y="30265"/>
                  <a:pt x="192539" y="30265"/>
                </a:cubicBezTo>
                <a:cubicBezTo>
                  <a:pt x="178372" y="30265"/>
                  <a:pt x="174509" y="31553"/>
                  <a:pt x="174509" y="34129"/>
                </a:cubicBezTo>
                <a:cubicBezTo>
                  <a:pt x="174509" y="37349"/>
                  <a:pt x="177085" y="37993"/>
                  <a:pt x="194471" y="39281"/>
                </a:cubicBezTo>
                <a:cubicBezTo>
                  <a:pt x="214433" y="40568"/>
                  <a:pt x="227956" y="41212"/>
                  <a:pt x="227956" y="54735"/>
                </a:cubicBezTo>
                <a:cubicBezTo>
                  <a:pt x="227956" y="68902"/>
                  <a:pt x="215077" y="71478"/>
                  <a:pt x="195759" y="71478"/>
                </a:cubicBezTo>
                <a:cubicBezTo>
                  <a:pt x="176441" y="71478"/>
                  <a:pt x="158410" y="68902"/>
                  <a:pt x="158410" y="52803"/>
                </a:cubicBezTo>
                <a:lnTo>
                  <a:pt x="173221" y="52803"/>
                </a:lnTo>
                <a:close/>
                <a:moveTo>
                  <a:pt x="254358" y="644"/>
                </a:moveTo>
                <a:lnTo>
                  <a:pt x="254358" y="13523"/>
                </a:lnTo>
                <a:lnTo>
                  <a:pt x="239547" y="13523"/>
                </a:lnTo>
                <a:lnTo>
                  <a:pt x="239547" y="644"/>
                </a:lnTo>
                <a:lnTo>
                  <a:pt x="254358" y="644"/>
                </a:lnTo>
                <a:close/>
                <a:moveTo>
                  <a:pt x="254358" y="19318"/>
                </a:moveTo>
                <a:lnTo>
                  <a:pt x="254358" y="70190"/>
                </a:lnTo>
                <a:lnTo>
                  <a:pt x="239547" y="70190"/>
                </a:lnTo>
                <a:lnTo>
                  <a:pt x="239547" y="19318"/>
                </a:lnTo>
                <a:lnTo>
                  <a:pt x="254358" y="19318"/>
                </a:lnTo>
                <a:close/>
                <a:moveTo>
                  <a:pt x="292994" y="31553"/>
                </a:moveTo>
                <a:lnTo>
                  <a:pt x="292994" y="46364"/>
                </a:lnTo>
                <a:cubicBezTo>
                  <a:pt x="292994" y="56023"/>
                  <a:pt x="294926" y="58599"/>
                  <a:pt x="303941" y="58599"/>
                </a:cubicBezTo>
                <a:cubicBezTo>
                  <a:pt x="308449" y="58599"/>
                  <a:pt x="311025" y="58599"/>
                  <a:pt x="316820" y="57955"/>
                </a:cubicBezTo>
                <a:lnTo>
                  <a:pt x="316820" y="69546"/>
                </a:lnTo>
                <a:cubicBezTo>
                  <a:pt x="311669" y="70190"/>
                  <a:pt x="306517" y="70834"/>
                  <a:pt x="299434" y="70834"/>
                </a:cubicBezTo>
                <a:cubicBezTo>
                  <a:pt x="286555" y="70834"/>
                  <a:pt x="278184" y="65682"/>
                  <a:pt x="278184" y="54735"/>
                </a:cubicBezTo>
                <a:lnTo>
                  <a:pt x="278184" y="31553"/>
                </a:lnTo>
                <a:lnTo>
                  <a:pt x="264661" y="31553"/>
                </a:lnTo>
                <a:lnTo>
                  <a:pt x="264661" y="19318"/>
                </a:lnTo>
                <a:lnTo>
                  <a:pt x="278184" y="19318"/>
                </a:lnTo>
                <a:lnTo>
                  <a:pt x="278184" y="9015"/>
                </a:lnTo>
                <a:lnTo>
                  <a:pt x="292994" y="4508"/>
                </a:lnTo>
                <a:lnTo>
                  <a:pt x="292994" y="19318"/>
                </a:lnTo>
                <a:lnTo>
                  <a:pt x="316820" y="19318"/>
                </a:lnTo>
                <a:lnTo>
                  <a:pt x="316820" y="31553"/>
                </a:lnTo>
                <a:lnTo>
                  <a:pt x="292994" y="31553"/>
                </a:lnTo>
                <a:close/>
                <a:moveTo>
                  <a:pt x="342578" y="644"/>
                </a:moveTo>
                <a:lnTo>
                  <a:pt x="342578" y="13523"/>
                </a:lnTo>
                <a:lnTo>
                  <a:pt x="327767" y="13523"/>
                </a:lnTo>
                <a:lnTo>
                  <a:pt x="327767" y="644"/>
                </a:lnTo>
                <a:lnTo>
                  <a:pt x="342578" y="644"/>
                </a:lnTo>
                <a:close/>
                <a:moveTo>
                  <a:pt x="342578" y="19318"/>
                </a:moveTo>
                <a:lnTo>
                  <a:pt x="342578" y="70190"/>
                </a:lnTo>
                <a:lnTo>
                  <a:pt x="327767" y="70190"/>
                </a:lnTo>
                <a:lnTo>
                  <a:pt x="327767" y="19318"/>
                </a:lnTo>
                <a:lnTo>
                  <a:pt x="342578" y="19318"/>
                </a:lnTo>
                <a:close/>
                <a:moveTo>
                  <a:pt x="424359" y="19318"/>
                </a:moveTo>
                <a:lnTo>
                  <a:pt x="398601" y="70190"/>
                </a:lnTo>
                <a:lnTo>
                  <a:pt x="377995" y="70190"/>
                </a:lnTo>
                <a:lnTo>
                  <a:pt x="352237" y="19318"/>
                </a:lnTo>
                <a:lnTo>
                  <a:pt x="368336" y="19318"/>
                </a:lnTo>
                <a:lnTo>
                  <a:pt x="388298" y="59887"/>
                </a:lnTo>
                <a:lnTo>
                  <a:pt x="408260" y="19318"/>
                </a:lnTo>
                <a:lnTo>
                  <a:pt x="424359" y="19318"/>
                </a:lnTo>
                <a:close/>
                <a:moveTo>
                  <a:pt x="481670" y="51515"/>
                </a:moveTo>
                <a:lnTo>
                  <a:pt x="496481" y="51515"/>
                </a:lnTo>
                <a:cubicBezTo>
                  <a:pt x="493261" y="64394"/>
                  <a:pt x="480382" y="70834"/>
                  <a:pt x="461708" y="70834"/>
                </a:cubicBezTo>
                <a:cubicBezTo>
                  <a:pt x="442389" y="70834"/>
                  <a:pt x="427579" y="63106"/>
                  <a:pt x="427579" y="44432"/>
                </a:cubicBezTo>
                <a:cubicBezTo>
                  <a:pt x="427579" y="25758"/>
                  <a:pt x="442389" y="18030"/>
                  <a:pt x="462995" y="18030"/>
                </a:cubicBezTo>
                <a:cubicBezTo>
                  <a:pt x="482314" y="18030"/>
                  <a:pt x="497768" y="24470"/>
                  <a:pt x="497768" y="47652"/>
                </a:cubicBezTo>
                <a:lnTo>
                  <a:pt x="442389" y="47652"/>
                </a:lnTo>
                <a:cubicBezTo>
                  <a:pt x="444321" y="56023"/>
                  <a:pt x="452048" y="58599"/>
                  <a:pt x="461708" y="58599"/>
                </a:cubicBezTo>
                <a:cubicBezTo>
                  <a:pt x="471367" y="58599"/>
                  <a:pt x="477806" y="56667"/>
                  <a:pt x="481670" y="51515"/>
                </a:cubicBezTo>
                <a:close/>
                <a:moveTo>
                  <a:pt x="442389" y="38637"/>
                </a:moveTo>
                <a:lnTo>
                  <a:pt x="481026" y="38637"/>
                </a:lnTo>
                <a:cubicBezTo>
                  <a:pt x="478450" y="31553"/>
                  <a:pt x="471367" y="29621"/>
                  <a:pt x="461708" y="29621"/>
                </a:cubicBezTo>
                <a:cubicBezTo>
                  <a:pt x="452048" y="29621"/>
                  <a:pt x="444965" y="31553"/>
                  <a:pt x="442389" y="38637"/>
                </a:cubicBezTo>
                <a:close/>
                <a:moveTo>
                  <a:pt x="622694" y="644"/>
                </a:moveTo>
                <a:lnTo>
                  <a:pt x="622694" y="69546"/>
                </a:lnTo>
                <a:lnTo>
                  <a:pt x="607883" y="69546"/>
                </a:lnTo>
                <a:lnTo>
                  <a:pt x="607883" y="61819"/>
                </a:lnTo>
                <a:cubicBezTo>
                  <a:pt x="602087" y="67614"/>
                  <a:pt x="593716" y="70834"/>
                  <a:pt x="582769" y="70834"/>
                </a:cubicBezTo>
                <a:cubicBezTo>
                  <a:pt x="566670" y="70834"/>
                  <a:pt x="552504" y="63750"/>
                  <a:pt x="552504" y="44432"/>
                </a:cubicBezTo>
                <a:cubicBezTo>
                  <a:pt x="552504" y="25114"/>
                  <a:pt x="566670" y="18030"/>
                  <a:pt x="582769" y="18030"/>
                </a:cubicBezTo>
                <a:cubicBezTo>
                  <a:pt x="593716" y="18030"/>
                  <a:pt x="602731" y="21250"/>
                  <a:pt x="607883" y="27046"/>
                </a:cubicBezTo>
                <a:lnTo>
                  <a:pt x="607883" y="644"/>
                </a:lnTo>
                <a:lnTo>
                  <a:pt x="622694" y="644"/>
                </a:lnTo>
                <a:close/>
                <a:moveTo>
                  <a:pt x="607883" y="44432"/>
                </a:moveTo>
                <a:cubicBezTo>
                  <a:pt x="607883" y="34129"/>
                  <a:pt x="600800" y="30265"/>
                  <a:pt x="587277" y="30265"/>
                </a:cubicBezTo>
                <a:cubicBezTo>
                  <a:pt x="574398" y="30265"/>
                  <a:pt x="566670" y="34129"/>
                  <a:pt x="566670" y="44432"/>
                </a:cubicBezTo>
                <a:cubicBezTo>
                  <a:pt x="566670" y="54735"/>
                  <a:pt x="573754" y="58599"/>
                  <a:pt x="587277" y="58599"/>
                </a:cubicBezTo>
                <a:cubicBezTo>
                  <a:pt x="600800" y="58599"/>
                  <a:pt x="607883" y="54735"/>
                  <a:pt x="607883" y="44432"/>
                </a:cubicBezTo>
                <a:close/>
                <a:moveTo>
                  <a:pt x="649739" y="644"/>
                </a:moveTo>
                <a:lnTo>
                  <a:pt x="649739" y="13523"/>
                </a:lnTo>
                <a:lnTo>
                  <a:pt x="634928" y="13523"/>
                </a:lnTo>
                <a:lnTo>
                  <a:pt x="634928" y="644"/>
                </a:lnTo>
                <a:lnTo>
                  <a:pt x="649739" y="644"/>
                </a:lnTo>
                <a:close/>
                <a:moveTo>
                  <a:pt x="649739" y="19318"/>
                </a:moveTo>
                <a:lnTo>
                  <a:pt x="649739" y="70190"/>
                </a:lnTo>
                <a:lnTo>
                  <a:pt x="634928" y="70190"/>
                </a:lnTo>
                <a:lnTo>
                  <a:pt x="634928" y="19318"/>
                </a:lnTo>
                <a:lnTo>
                  <a:pt x="649739" y="19318"/>
                </a:lnTo>
                <a:close/>
                <a:moveTo>
                  <a:pt x="730876" y="19318"/>
                </a:moveTo>
                <a:lnTo>
                  <a:pt x="730876" y="61819"/>
                </a:lnTo>
                <a:cubicBezTo>
                  <a:pt x="730876" y="82425"/>
                  <a:pt x="716709" y="91440"/>
                  <a:pt x="698035" y="91440"/>
                </a:cubicBezTo>
                <a:cubicBezTo>
                  <a:pt x="683224" y="91440"/>
                  <a:pt x="670989" y="88864"/>
                  <a:pt x="666482" y="87576"/>
                </a:cubicBezTo>
                <a:lnTo>
                  <a:pt x="666482" y="75985"/>
                </a:lnTo>
                <a:cubicBezTo>
                  <a:pt x="672277" y="77273"/>
                  <a:pt x="683868" y="79849"/>
                  <a:pt x="694815" y="79849"/>
                </a:cubicBezTo>
                <a:cubicBezTo>
                  <a:pt x="710270" y="79849"/>
                  <a:pt x="716065" y="74053"/>
                  <a:pt x="716065" y="61175"/>
                </a:cubicBezTo>
                <a:cubicBezTo>
                  <a:pt x="710914" y="66970"/>
                  <a:pt x="702543" y="70190"/>
                  <a:pt x="690308" y="70190"/>
                </a:cubicBezTo>
                <a:cubicBezTo>
                  <a:pt x="672921" y="70190"/>
                  <a:pt x="660686" y="62463"/>
                  <a:pt x="660686" y="44432"/>
                </a:cubicBezTo>
                <a:cubicBezTo>
                  <a:pt x="660686" y="26402"/>
                  <a:pt x="672921" y="18674"/>
                  <a:pt x="690308" y="18674"/>
                </a:cubicBezTo>
                <a:cubicBezTo>
                  <a:pt x="702543" y="18674"/>
                  <a:pt x="710914" y="21894"/>
                  <a:pt x="716065" y="27690"/>
                </a:cubicBezTo>
                <a:lnTo>
                  <a:pt x="716065" y="19318"/>
                </a:lnTo>
                <a:lnTo>
                  <a:pt x="730876" y="19318"/>
                </a:lnTo>
                <a:close/>
                <a:moveTo>
                  <a:pt x="715421" y="43788"/>
                </a:moveTo>
                <a:cubicBezTo>
                  <a:pt x="715421" y="34773"/>
                  <a:pt x="708982" y="30909"/>
                  <a:pt x="694815" y="30909"/>
                </a:cubicBezTo>
                <a:cubicBezTo>
                  <a:pt x="680648" y="30909"/>
                  <a:pt x="674209" y="34773"/>
                  <a:pt x="674209" y="43788"/>
                </a:cubicBezTo>
                <a:cubicBezTo>
                  <a:pt x="674209" y="52803"/>
                  <a:pt x="680648" y="56667"/>
                  <a:pt x="694815" y="56667"/>
                </a:cubicBezTo>
                <a:cubicBezTo>
                  <a:pt x="708982" y="56667"/>
                  <a:pt x="715421" y="52803"/>
                  <a:pt x="715421" y="43788"/>
                </a:cubicBezTo>
                <a:close/>
                <a:moveTo>
                  <a:pt x="757278" y="644"/>
                </a:moveTo>
                <a:lnTo>
                  <a:pt x="757278" y="13523"/>
                </a:lnTo>
                <a:lnTo>
                  <a:pt x="742467" y="13523"/>
                </a:lnTo>
                <a:lnTo>
                  <a:pt x="742467" y="644"/>
                </a:lnTo>
                <a:lnTo>
                  <a:pt x="757278" y="644"/>
                </a:lnTo>
                <a:close/>
                <a:moveTo>
                  <a:pt x="757278" y="19318"/>
                </a:moveTo>
                <a:lnTo>
                  <a:pt x="757278" y="70190"/>
                </a:lnTo>
                <a:lnTo>
                  <a:pt x="742467" y="70190"/>
                </a:lnTo>
                <a:lnTo>
                  <a:pt x="742467" y="19318"/>
                </a:lnTo>
                <a:lnTo>
                  <a:pt x="757278" y="19318"/>
                </a:lnTo>
                <a:close/>
                <a:moveTo>
                  <a:pt x="795914" y="31553"/>
                </a:moveTo>
                <a:lnTo>
                  <a:pt x="795914" y="46364"/>
                </a:lnTo>
                <a:cubicBezTo>
                  <a:pt x="795914" y="56023"/>
                  <a:pt x="797846" y="58599"/>
                  <a:pt x="806861" y="58599"/>
                </a:cubicBezTo>
                <a:cubicBezTo>
                  <a:pt x="811369" y="58599"/>
                  <a:pt x="813945" y="58599"/>
                  <a:pt x="819740" y="57955"/>
                </a:cubicBezTo>
                <a:lnTo>
                  <a:pt x="819740" y="69546"/>
                </a:lnTo>
                <a:cubicBezTo>
                  <a:pt x="814589" y="70190"/>
                  <a:pt x="809437" y="70834"/>
                  <a:pt x="802354" y="70834"/>
                </a:cubicBezTo>
                <a:cubicBezTo>
                  <a:pt x="789475" y="70834"/>
                  <a:pt x="781104" y="65682"/>
                  <a:pt x="781104" y="54735"/>
                </a:cubicBezTo>
                <a:lnTo>
                  <a:pt x="781104" y="31553"/>
                </a:lnTo>
                <a:lnTo>
                  <a:pt x="767581" y="31553"/>
                </a:lnTo>
                <a:lnTo>
                  <a:pt x="767581" y="19318"/>
                </a:lnTo>
                <a:lnTo>
                  <a:pt x="781104" y="19318"/>
                </a:lnTo>
                <a:lnTo>
                  <a:pt x="781104" y="9015"/>
                </a:lnTo>
                <a:lnTo>
                  <a:pt x="795914" y="4508"/>
                </a:lnTo>
                <a:lnTo>
                  <a:pt x="795914" y="19318"/>
                </a:lnTo>
                <a:lnTo>
                  <a:pt x="819740" y="19318"/>
                </a:lnTo>
                <a:lnTo>
                  <a:pt x="819740" y="31553"/>
                </a:lnTo>
                <a:lnTo>
                  <a:pt x="795914" y="31553"/>
                </a:lnTo>
                <a:close/>
                <a:moveTo>
                  <a:pt x="898301" y="44432"/>
                </a:moveTo>
                <a:lnTo>
                  <a:pt x="898301" y="70190"/>
                </a:lnTo>
                <a:lnTo>
                  <a:pt x="883491" y="70190"/>
                </a:lnTo>
                <a:lnTo>
                  <a:pt x="883491" y="63750"/>
                </a:lnTo>
                <a:cubicBezTo>
                  <a:pt x="874476" y="68258"/>
                  <a:pt x="864816" y="70834"/>
                  <a:pt x="852581" y="70834"/>
                </a:cubicBezTo>
                <a:cubicBezTo>
                  <a:pt x="838415" y="70834"/>
                  <a:pt x="829400" y="66326"/>
                  <a:pt x="829400" y="54735"/>
                </a:cubicBezTo>
                <a:cubicBezTo>
                  <a:pt x="829400" y="41856"/>
                  <a:pt x="843566" y="37349"/>
                  <a:pt x="860309" y="37349"/>
                </a:cubicBezTo>
                <a:cubicBezTo>
                  <a:pt x="869324" y="37349"/>
                  <a:pt x="877051" y="38637"/>
                  <a:pt x="883491" y="41212"/>
                </a:cubicBezTo>
                <a:cubicBezTo>
                  <a:pt x="883491" y="31553"/>
                  <a:pt x="871256" y="30909"/>
                  <a:pt x="864172" y="30909"/>
                </a:cubicBezTo>
                <a:cubicBezTo>
                  <a:pt x="857733" y="30909"/>
                  <a:pt x="849362" y="31553"/>
                  <a:pt x="839059" y="34773"/>
                </a:cubicBezTo>
                <a:lnTo>
                  <a:pt x="833907" y="23826"/>
                </a:lnTo>
                <a:cubicBezTo>
                  <a:pt x="844210" y="20606"/>
                  <a:pt x="854513" y="18674"/>
                  <a:pt x="864816" y="18674"/>
                </a:cubicBezTo>
                <a:cubicBezTo>
                  <a:pt x="886066" y="18030"/>
                  <a:pt x="898301" y="25114"/>
                  <a:pt x="898301" y="44432"/>
                </a:cubicBezTo>
                <a:close/>
                <a:moveTo>
                  <a:pt x="883491" y="50228"/>
                </a:moveTo>
                <a:cubicBezTo>
                  <a:pt x="878339" y="48296"/>
                  <a:pt x="871256" y="47008"/>
                  <a:pt x="862241" y="47008"/>
                </a:cubicBezTo>
                <a:cubicBezTo>
                  <a:pt x="851294" y="47008"/>
                  <a:pt x="844854" y="48940"/>
                  <a:pt x="844854" y="54091"/>
                </a:cubicBezTo>
                <a:cubicBezTo>
                  <a:pt x="844854" y="59243"/>
                  <a:pt x="850006" y="59887"/>
                  <a:pt x="857733" y="59887"/>
                </a:cubicBezTo>
                <a:cubicBezTo>
                  <a:pt x="865460" y="59887"/>
                  <a:pt x="877051" y="57311"/>
                  <a:pt x="884135" y="54091"/>
                </a:cubicBezTo>
                <a:lnTo>
                  <a:pt x="884135" y="50228"/>
                </a:lnTo>
                <a:close/>
                <a:moveTo>
                  <a:pt x="925347" y="644"/>
                </a:moveTo>
                <a:lnTo>
                  <a:pt x="925347" y="69546"/>
                </a:lnTo>
                <a:lnTo>
                  <a:pt x="910536" y="69546"/>
                </a:lnTo>
                <a:lnTo>
                  <a:pt x="910536" y="644"/>
                </a:lnTo>
                <a:lnTo>
                  <a:pt x="925347" y="644"/>
                </a:lnTo>
                <a:close/>
                <a:moveTo>
                  <a:pt x="1009704" y="19318"/>
                </a:moveTo>
                <a:lnTo>
                  <a:pt x="1030954" y="19318"/>
                </a:lnTo>
                <a:lnTo>
                  <a:pt x="1030954" y="31553"/>
                </a:lnTo>
                <a:lnTo>
                  <a:pt x="1009704" y="31553"/>
                </a:lnTo>
                <a:lnTo>
                  <a:pt x="1009704" y="70190"/>
                </a:lnTo>
                <a:lnTo>
                  <a:pt x="994893" y="70190"/>
                </a:lnTo>
                <a:lnTo>
                  <a:pt x="994893" y="31553"/>
                </a:lnTo>
                <a:lnTo>
                  <a:pt x="981370" y="31553"/>
                </a:lnTo>
                <a:lnTo>
                  <a:pt x="981370" y="19318"/>
                </a:lnTo>
                <a:lnTo>
                  <a:pt x="994893" y="19318"/>
                </a:lnTo>
                <a:lnTo>
                  <a:pt x="994893" y="15455"/>
                </a:lnTo>
                <a:cubicBezTo>
                  <a:pt x="994893" y="5152"/>
                  <a:pt x="1001332" y="0"/>
                  <a:pt x="1016143" y="0"/>
                </a:cubicBezTo>
                <a:cubicBezTo>
                  <a:pt x="1021295" y="0"/>
                  <a:pt x="1023870" y="0"/>
                  <a:pt x="1031598" y="644"/>
                </a:cubicBezTo>
                <a:lnTo>
                  <a:pt x="1031598" y="10947"/>
                </a:lnTo>
                <a:cubicBezTo>
                  <a:pt x="1028378" y="10947"/>
                  <a:pt x="1024514" y="10303"/>
                  <a:pt x="1021295" y="10303"/>
                </a:cubicBezTo>
                <a:cubicBezTo>
                  <a:pt x="1012279" y="10947"/>
                  <a:pt x="1009704" y="12879"/>
                  <a:pt x="1009704" y="19318"/>
                </a:cubicBezTo>
                <a:close/>
                <a:moveTo>
                  <a:pt x="1056712" y="644"/>
                </a:moveTo>
                <a:lnTo>
                  <a:pt x="1056712" y="69546"/>
                </a:lnTo>
                <a:lnTo>
                  <a:pt x="1041901" y="69546"/>
                </a:lnTo>
                <a:lnTo>
                  <a:pt x="1041901" y="644"/>
                </a:lnTo>
                <a:lnTo>
                  <a:pt x="1056712" y="644"/>
                </a:lnTo>
                <a:close/>
                <a:moveTo>
                  <a:pt x="1067659" y="44432"/>
                </a:moveTo>
                <a:cubicBezTo>
                  <a:pt x="1067659" y="25758"/>
                  <a:pt x="1081825" y="18030"/>
                  <a:pt x="1103076" y="18030"/>
                </a:cubicBezTo>
                <a:cubicBezTo>
                  <a:pt x="1124326" y="18030"/>
                  <a:pt x="1138493" y="25758"/>
                  <a:pt x="1138493" y="44432"/>
                </a:cubicBezTo>
                <a:cubicBezTo>
                  <a:pt x="1138493" y="63106"/>
                  <a:pt x="1124326" y="70834"/>
                  <a:pt x="1103076" y="70834"/>
                </a:cubicBezTo>
                <a:cubicBezTo>
                  <a:pt x="1081825" y="70834"/>
                  <a:pt x="1067659" y="63106"/>
                  <a:pt x="1067659" y="44432"/>
                </a:cubicBezTo>
                <a:close/>
                <a:moveTo>
                  <a:pt x="1123038" y="44432"/>
                </a:moveTo>
                <a:cubicBezTo>
                  <a:pt x="1123038" y="34129"/>
                  <a:pt x="1116598" y="30265"/>
                  <a:pt x="1102432" y="30265"/>
                </a:cubicBezTo>
                <a:cubicBezTo>
                  <a:pt x="1088909" y="30265"/>
                  <a:pt x="1081825" y="33485"/>
                  <a:pt x="1081825" y="44432"/>
                </a:cubicBezTo>
                <a:cubicBezTo>
                  <a:pt x="1081825" y="54735"/>
                  <a:pt x="1088265" y="58599"/>
                  <a:pt x="1102432" y="58599"/>
                </a:cubicBezTo>
                <a:cubicBezTo>
                  <a:pt x="1115954" y="58599"/>
                  <a:pt x="1123038" y="54735"/>
                  <a:pt x="1123038" y="44432"/>
                </a:cubicBezTo>
                <a:close/>
                <a:moveTo>
                  <a:pt x="1254402" y="19318"/>
                </a:moveTo>
                <a:lnTo>
                  <a:pt x="1231864" y="70190"/>
                </a:lnTo>
                <a:lnTo>
                  <a:pt x="1211902" y="70190"/>
                </a:lnTo>
                <a:lnTo>
                  <a:pt x="1197091" y="34773"/>
                </a:lnTo>
                <a:lnTo>
                  <a:pt x="1182281" y="70190"/>
                </a:lnTo>
                <a:lnTo>
                  <a:pt x="1162318" y="70190"/>
                </a:lnTo>
                <a:lnTo>
                  <a:pt x="1139780" y="19318"/>
                </a:lnTo>
                <a:lnTo>
                  <a:pt x="1156523" y="19318"/>
                </a:lnTo>
                <a:lnTo>
                  <a:pt x="1173265" y="58599"/>
                </a:lnTo>
                <a:lnTo>
                  <a:pt x="1188720" y="19318"/>
                </a:lnTo>
                <a:lnTo>
                  <a:pt x="1206107" y="19318"/>
                </a:lnTo>
                <a:lnTo>
                  <a:pt x="1221561" y="57955"/>
                </a:lnTo>
                <a:lnTo>
                  <a:pt x="1238304" y="18674"/>
                </a:lnTo>
                <a:lnTo>
                  <a:pt x="1254402" y="18674"/>
                </a:lnTo>
                <a:close/>
              </a:path>
            </a:pathLst>
          </a:custGeom>
          <a:solidFill>
            <a:srgbClr val="00AA9B"/>
          </a:solidFill>
          <a:ln w="6439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grpSp>
        <xdr:nvGrpSpPr>
          <xdr:cNvPr id="9" name="Graphique 9">
            <a:extLst>
              <a:ext uri="{FF2B5EF4-FFF2-40B4-BE49-F238E27FC236}">
                <a16:creationId xmlns:a16="http://schemas.microsoft.com/office/drawing/2014/main" id="{4CFC03D0-B017-4F31-8CEE-8AAC2D2604A4}"/>
              </a:ext>
            </a:extLst>
          </xdr:cNvPr>
          <xdr:cNvGrpSpPr/>
        </xdr:nvGrpSpPr>
        <xdr:grpSpPr>
          <a:xfrm>
            <a:off x="13512800" y="647260"/>
            <a:ext cx="1824935" cy="273031"/>
            <a:chOff x="13512800" y="647260"/>
            <a:chExt cx="1824935" cy="273031"/>
          </a:xfrm>
        </xdr:grpSpPr>
        <xdr:sp macro="" textlink="">
          <xdr:nvSpPr>
            <xdr:cNvPr id="10" name="Forme libre : forme 19">
              <a:extLst>
                <a:ext uri="{FF2B5EF4-FFF2-40B4-BE49-F238E27FC236}">
                  <a16:creationId xmlns:a16="http://schemas.microsoft.com/office/drawing/2014/main" id="{C9ABF712-D213-4990-9B4E-6F6722301DA6}"/>
                </a:ext>
              </a:extLst>
            </xdr:cNvPr>
            <xdr:cNvSpPr/>
          </xdr:nvSpPr>
          <xdr:spPr>
            <a:xfrm>
              <a:off x="13512800" y="647260"/>
              <a:ext cx="1533229" cy="273031"/>
            </a:xfrm>
            <a:custGeom>
              <a:avLst/>
              <a:gdLst>
                <a:gd name="connsiteX0" fmla="*/ 358677 w 1533229"/>
                <a:gd name="connsiteY0" fmla="*/ 169357 h 273031"/>
                <a:gd name="connsiteX1" fmla="*/ 358677 w 1533229"/>
                <a:gd name="connsiteY1" fmla="*/ 269168 h 273031"/>
                <a:gd name="connsiteX2" fmla="*/ 285267 w 1533229"/>
                <a:gd name="connsiteY2" fmla="*/ 269168 h 273031"/>
                <a:gd name="connsiteX3" fmla="*/ 285267 w 1533229"/>
                <a:gd name="connsiteY3" fmla="*/ 198978 h 273031"/>
                <a:gd name="connsiteX4" fmla="*/ 242123 w 1533229"/>
                <a:gd name="connsiteY4" fmla="*/ 154546 h 273031"/>
                <a:gd name="connsiteX5" fmla="*/ 183524 w 1533229"/>
                <a:gd name="connsiteY5" fmla="*/ 177728 h 273031"/>
                <a:gd name="connsiteX6" fmla="*/ 183524 w 1533229"/>
                <a:gd name="connsiteY6" fmla="*/ 269812 h 273031"/>
                <a:gd name="connsiteX7" fmla="*/ 110758 w 1533229"/>
                <a:gd name="connsiteY7" fmla="*/ 269812 h 273031"/>
                <a:gd name="connsiteX8" fmla="*/ 110758 w 1533229"/>
                <a:gd name="connsiteY8" fmla="*/ 92084 h 273031"/>
                <a:gd name="connsiteX9" fmla="*/ 183524 w 1533229"/>
                <a:gd name="connsiteY9" fmla="*/ 92084 h 273031"/>
                <a:gd name="connsiteX10" fmla="*/ 183524 w 1533229"/>
                <a:gd name="connsiteY10" fmla="*/ 117842 h 273031"/>
                <a:gd name="connsiteX11" fmla="*/ 271744 w 1533229"/>
                <a:gd name="connsiteY11" fmla="*/ 90152 h 273031"/>
                <a:gd name="connsiteX12" fmla="*/ 358677 w 1533229"/>
                <a:gd name="connsiteY12" fmla="*/ 169357 h 273031"/>
                <a:gd name="connsiteX13" fmla="*/ 765005 w 1533229"/>
                <a:gd name="connsiteY13" fmla="*/ 36705 h 273031"/>
                <a:gd name="connsiteX14" fmla="*/ 692239 w 1533229"/>
                <a:gd name="connsiteY14" fmla="*/ 36705 h 273031"/>
                <a:gd name="connsiteX15" fmla="*/ 692239 w 1533229"/>
                <a:gd name="connsiteY15" fmla="*/ 92084 h 273031"/>
                <a:gd name="connsiteX16" fmla="*/ 652959 w 1533229"/>
                <a:gd name="connsiteY16" fmla="*/ 92084 h 273031"/>
                <a:gd name="connsiteX17" fmla="*/ 652959 w 1533229"/>
                <a:gd name="connsiteY17" fmla="*/ 151327 h 273031"/>
                <a:gd name="connsiteX18" fmla="*/ 692239 w 1533229"/>
                <a:gd name="connsiteY18" fmla="*/ 151327 h 273031"/>
                <a:gd name="connsiteX19" fmla="*/ 692239 w 1533229"/>
                <a:gd name="connsiteY19" fmla="*/ 269168 h 273031"/>
                <a:gd name="connsiteX20" fmla="*/ 838415 w 1533229"/>
                <a:gd name="connsiteY20" fmla="*/ 269168 h 273031"/>
                <a:gd name="connsiteX21" fmla="*/ 838415 w 1533229"/>
                <a:gd name="connsiteY21" fmla="*/ 209926 h 273031"/>
                <a:gd name="connsiteX22" fmla="*/ 765649 w 1533229"/>
                <a:gd name="connsiteY22" fmla="*/ 209926 h 273031"/>
                <a:gd name="connsiteX23" fmla="*/ 765649 w 1533229"/>
                <a:gd name="connsiteY23" fmla="*/ 151327 h 273031"/>
                <a:gd name="connsiteX24" fmla="*/ 838415 w 1533229"/>
                <a:gd name="connsiteY24" fmla="*/ 151327 h 273031"/>
                <a:gd name="connsiteX25" fmla="*/ 838415 w 1533229"/>
                <a:gd name="connsiteY25" fmla="*/ 92084 h 273031"/>
                <a:gd name="connsiteX26" fmla="*/ 765649 w 1533229"/>
                <a:gd name="connsiteY26" fmla="*/ 92084 h 273031"/>
                <a:gd name="connsiteX27" fmla="*/ 765649 w 1533229"/>
                <a:gd name="connsiteY27" fmla="*/ 36705 h 273031"/>
                <a:gd name="connsiteX28" fmla="*/ 632997 w 1533229"/>
                <a:gd name="connsiteY28" fmla="*/ 192539 h 273031"/>
                <a:gd name="connsiteX29" fmla="*/ 462352 w 1533229"/>
                <a:gd name="connsiteY29" fmla="*/ 192539 h 273031"/>
                <a:gd name="connsiteX30" fmla="*/ 508072 w 1533229"/>
                <a:gd name="connsiteY30" fmla="*/ 216365 h 273031"/>
                <a:gd name="connsiteX31" fmla="*/ 548640 w 1533229"/>
                <a:gd name="connsiteY31" fmla="*/ 209926 h 273031"/>
                <a:gd name="connsiteX32" fmla="*/ 627845 w 1533229"/>
                <a:gd name="connsiteY32" fmla="*/ 209926 h 273031"/>
                <a:gd name="connsiteX33" fmla="*/ 508072 w 1533229"/>
                <a:gd name="connsiteY33" fmla="*/ 273032 h 273031"/>
                <a:gd name="connsiteX34" fmla="*/ 388942 w 1533229"/>
                <a:gd name="connsiteY34" fmla="*/ 180304 h 273031"/>
                <a:gd name="connsiteX35" fmla="*/ 511291 w 1533229"/>
                <a:gd name="connsiteY35" fmla="*/ 87576 h 273031"/>
                <a:gd name="connsiteX36" fmla="*/ 632997 w 1533229"/>
                <a:gd name="connsiteY36" fmla="*/ 192539 h 273031"/>
                <a:gd name="connsiteX37" fmla="*/ 556367 w 1533229"/>
                <a:gd name="connsiteY37" fmla="*/ 152615 h 273031"/>
                <a:gd name="connsiteX38" fmla="*/ 510647 w 1533229"/>
                <a:gd name="connsiteY38" fmla="*/ 135228 h 273031"/>
                <a:gd name="connsiteX39" fmla="*/ 465571 w 1533229"/>
                <a:gd name="connsiteY39" fmla="*/ 152615 h 273031"/>
                <a:gd name="connsiteX40" fmla="*/ 556367 w 1533229"/>
                <a:gd name="connsiteY40" fmla="*/ 152615 h 273031"/>
                <a:gd name="connsiteX41" fmla="*/ 1041901 w 1533229"/>
                <a:gd name="connsiteY41" fmla="*/ 186744 h 273031"/>
                <a:gd name="connsiteX42" fmla="*/ 985878 w 1533229"/>
                <a:gd name="connsiteY42" fmla="*/ 208638 h 273031"/>
                <a:gd name="connsiteX43" fmla="*/ 943377 w 1533229"/>
                <a:gd name="connsiteY43" fmla="*/ 165493 h 273031"/>
                <a:gd name="connsiteX44" fmla="*/ 943377 w 1533229"/>
                <a:gd name="connsiteY44" fmla="*/ 92084 h 273031"/>
                <a:gd name="connsiteX45" fmla="*/ 870612 w 1533229"/>
                <a:gd name="connsiteY45" fmla="*/ 92084 h 273031"/>
                <a:gd name="connsiteX46" fmla="*/ 870612 w 1533229"/>
                <a:gd name="connsiteY46" fmla="*/ 194471 h 273031"/>
                <a:gd name="connsiteX47" fmla="*/ 957544 w 1533229"/>
                <a:gd name="connsiteY47" fmla="*/ 269812 h 273031"/>
                <a:gd name="connsiteX48" fmla="*/ 1041901 w 1533229"/>
                <a:gd name="connsiteY48" fmla="*/ 243411 h 273031"/>
                <a:gd name="connsiteX49" fmla="*/ 1041901 w 1533229"/>
                <a:gd name="connsiteY49" fmla="*/ 268524 h 273031"/>
                <a:gd name="connsiteX50" fmla="*/ 1114667 w 1533229"/>
                <a:gd name="connsiteY50" fmla="*/ 268524 h 273031"/>
                <a:gd name="connsiteX51" fmla="*/ 1114667 w 1533229"/>
                <a:gd name="connsiteY51" fmla="*/ 91440 h 273031"/>
                <a:gd name="connsiteX52" fmla="*/ 1041901 w 1533229"/>
                <a:gd name="connsiteY52" fmla="*/ 91440 h 273031"/>
                <a:gd name="connsiteX53" fmla="*/ 1041901 w 1533229"/>
                <a:gd name="connsiteY53" fmla="*/ 186744 h 273031"/>
                <a:gd name="connsiteX54" fmla="*/ 1457888 w 1533229"/>
                <a:gd name="connsiteY54" fmla="*/ 89508 h 273031"/>
                <a:gd name="connsiteX55" fmla="*/ 1371600 w 1533229"/>
                <a:gd name="connsiteY55" fmla="*/ 123637 h 273031"/>
                <a:gd name="connsiteX56" fmla="*/ 1305274 w 1533229"/>
                <a:gd name="connsiteY56" fmla="*/ 89508 h 273031"/>
                <a:gd name="connsiteX57" fmla="*/ 1225425 w 1533229"/>
                <a:gd name="connsiteY57" fmla="*/ 121705 h 273031"/>
                <a:gd name="connsiteX58" fmla="*/ 1225425 w 1533229"/>
                <a:gd name="connsiteY58" fmla="*/ 92084 h 273031"/>
                <a:gd name="connsiteX59" fmla="*/ 1152659 w 1533229"/>
                <a:gd name="connsiteY59" fmla="*/ 92084 h 273031"/>
                <a:gd name="connsiteX60" fmla="*/ 1152659 w 1533229"/>
                <a:gd name="connsiteY60" fmla="*/ 269168 h 273031"/>
                <a:gd name="connsiteX61" fmla="*/ 1225425 w 1533229"/>
                <a:gd name="connsiteY61" fmla="*/ 269168 h 273031"/>
                <a:gd name="connsiteX62" fmla="*/ 1225425 w 1533229"/>
                <a:gd name="connsiteY62" fmla="*/ 173865 h 273031"/>
                <a:gd name="connsiteX63" fmla="*/ 1273721 w 1533229"/>
                <a:gd name="connsiteY63" fmla="*/ 151327 h 273031"/>
                <a:gd name="connsiteX64" fmla="*/ 1307850 w 1533229"/>
                <a:gd name="connsiteY64" fmla="*/ 194471 h 273031"/>
                <a:gd name="connsiteX65" fmla="*/ 1307850 w 1533229"/>
                <a:gd name="connsiteY65" fmla="*/ 269168 h 273031"/>
                <a:gd name="connsiteX66" fmla="*/ 1380615 w 1533229"/>
                <a:gd name="connsiteY66" fmla="*/ 269168 h 273031"/>
                <a:gd name="connsiteX67" fmla="*/ 1380615 w 1533229"/>
                <a:gd name="connsiteY67" fmla="*/ 171933 h 273031"/>
                <a:gd name="connsiteX68" fmla="*/ 1426335 w 1533229"/>
                <a:gd name="connsiteY68" fmla="*/ 151327 h 273031"/>
                <a:gd name="connsiteX69" fmla="*/ 1460464 w 1533229"/>
                <a:gd name="connsiteY69" fmla="*/ 194471 h 273031"/>
                <a:gd name="connsiteX70" fmla="*/ 1460464 w 1533229"/>
                <a:gd name="connsiteY70" fmla="*/ 269168 h 273031"/>
                <a:gd name="connsiteX71" fmla="*/ 1533230 w 1533229"/>
                <a:gd name="connsiteY71" fmla="*/ 269168 h 273031"/>
                <a:gd name="connsiteX72" fmla="*/ 1533230 w 1533229"/>
                <a:gd name="connsiteY72" fmla="*/ 162918 h 273031"/>
                <a:gd name="connsiteX73" fmla="*/ 1457888 w 1533229"/>
                <a:gd name="connsiteY73" fmla="*/ 89508 h 273031"/>
                <a:gd name="connsiteX74" fmla="*/ 0 w 1533229"/>
                <a:gd name="connsiteY74" fmla="*/ 92084 h 273031"/>
                <a:gd name="connsiteX75" fmla="*/ 0 w 1533229"/>
                <a:gd name="connsiteY75" fmla="*/ 269168 h 273031"/>
                <a:gd name="connsiteX76" fmla="*/ 72766 w 1533229"/>
                <a:gd name="connsiteY76" fmla="*/ 269168 h 273031"/>
                <a:gd name="connsiteX77" fmla="*/ 72766 w 1533229"/>
                <a:gd name="connsiteY77" fmla="*/ 92084 h 273031"/>
                <a:gd name="connsiteX78" fmla="*/ 0 w 1533229"/>
                <a:gd name="connsiteY78" fmla="*/ 92084 h 273031"/>
                <a:gd name="connsiteX79" fmla="*/ 72766 w 1533229"/>
                <a:gd name="connsiteY79" fmla="*/ 0 h 273031"/>
                <a:gd name="connsiteX80" fmla="*/ 0 w 1533229"/>
                <a:gd name="connsiteY80" fmla="*/ 0 h 273031"/>
                <a:gd name="connsiteX81" fmla="*/ 0 w 1533229"/>
                <a:gd name="connsiteY81" fmla="*/ 72766 h 273031"/>
                <a:gd name="connsiteX82" fmla="*/ 72766 w 1533229"/>
                <a:gd name="connsiteY82" fmla="*/ 72766 h 273031"/>
                <a:gd name="connsiteX83" fmla="*/ 72766 w 1533229"/>
                <a:gd name="connsiteY83" fmla="*/ 0 h 2730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  <a:cxn ang="0">
                  <a:pos x="connsiteX66" y="connsiteY66"/>
                </a:cxn>
                <a:cxn ang="0">
                  <a:pos x="connsiteX67" y="connsiteY67"/>
                </a:cxn>
                <a:cxn ang="0">
                  <a:pos x="connsiteX68" y="connsiteY68"/>
                </a:cxn>
                <a:cxn ang="0">
                  <a:pos x="connsiteX69" y="connsiteY69"/>
                </a:cxn>
                <a:cxn ang="0">
                  <a:pos x="connsiteX70" y="connsiteY70"/>
                </a:cxn>
                <a:cxn ang="0">
                  <a:pos x="connsiteX71" y="connsiteY71"/>
                </a:cxn>
                <a:cxn ang="0">
                  <a:pos x="connsiteX72" y="connsiteY72"/>
                </a:cxn>
                <a:cxn ang="0">
                  <a:pos x="connsiteX73" y="connsiteY73"/>
                </a:cxn>
                <a:cxn ang="0">
                  <a:pos x="connsiteX74" y="connsiteY74"/>
                </a:cxn>
                <a:cxn ang="0">
                  <a:pos x="connsiteX75" y="connsiteY75"/>
                </a:cxn>
                <a:cxn ang="0">
                  <a:pos x="connsiteX76" y="connsiteY76"/>
                </a:cxn>
                <a:cxn ang="0">
                  <a:pos x="connsiteX77" y="connsiteY77"/>
                </a:cxn>
                <a:cxn ang="0">
                  <a:pos x="connsiteX78" y="connsiteY78"/>
                </a:cxn>
                <a:cxn ang="0">
                  <a:pos x="connsiteX79" y="connsiteY79"/>
                </a:cxn>
                <a:cxn ang="0">
                  <a:pos x="connsiteX80" y="connsiteY80"/>
                </a:cxn>
                <a:cxn ang="0">
                  <a:pos x="connsiteX81" y="connsiteY81"/>
                </a:cxn>
                <a:cxn ang="0">
                  <a:pos x="connsiteX82" y="connsiteY82"/>
                </a:cxn>
                <a:cxn ang="0">
                  <a:pos x="connsiteX83" y="connsiteY83"/>
                </a:cxn>
              </a:cxnLst>
              <a:rect l="l" t="t" r="r" b="b"/>
              <a:pathLst>
                <a:path w="1533229" h="273031">
                  <a:moveTo>
                    <a:pt x="358677" y="169357"/>
                  </a:moveTo>
                  <a:lnTo>
                    <a:pt x="358677" y="269168"/>
                  </a:lnTo>
                  <a:lnTo>
                    <a:pt x="285267" y="269168"/>
                  </a:lnTo>
                  <a:lnTo>
                    <a:pt x="285267" y="198978"/>
                  </a:lnTo>
                  <a:cubicBezTo>
                    <a:pt x="285267" y="167425"/>
                    <a:pt x="274964" y="154546"/>
                    <a:pt x="242123" y="154546"/>
                  </a:cubicBezTo>
                  <a:cubicBezTo>
                    <a:pt x="220229" y="154546"/>
                    <a:pt x="197691" y="164206"/>
                    <a:pt x="183524" y="177728"/>
                  </a:cubicBezTo>
                  <a:lnTo>
                    <a:pt x="183524" y="269812"/>
                  </a:lnTo>
                  <a:lnTo>
                    <a:pt x="110758" y="269812"/>
                  </a:lnTo>
                  <a:lnTo>
                    <a:pt x="110758" y="92084"/>
                  </a:lnTo>
                  <a:lnTo>
                    <a:pt x="183524" y="92084"/>
                  </a:lnTo>
                  <a:lnTo>
                    <a:pt x="183524" y="117842"/>
                  </a:lnTo>
                  <a:cubicBezTo>
                    <a:pt x="205418" y="102387"/>
                    <a:pt x="233108" y="90152"/>
                    <a:pt x="271744" y="90152"/>
                  </a:cubicBezTo>
                  <a:cubicBezTo>
                    <a:pt x="312957" y="90152"/>
                    <a:pt x="358677" y="103675"/>
                    <a:pt x="358677" y="169357"/>
                  </a:cubicBezTo>
                  <a:close/>
                  <a:moveTo>
                    <a:pt x="765005" y="36705"/>
                  </a:moveTo>
                  <a:lnTo>
                    <a:pt x="692239" y="36705"/>
                  </a:lnTo>
                  <a:lnTo>
                    <a:pt x="692239" y="92084"/>
                  </a:lnTo>
                  <a:lnTo>
                    <a:pt x="652959" y="92084"/>
                  </a:lnTo>
                  <a:lnTo>
                    <a:pt x="652959" y="151327"/>
                  </a:lnTo>
                  <a:lnTo>
                    <a:pt x="692239" y="151327"/>
                  </a:lnTo>
                  <a:lnTo>
                    <a:pt x="692239" y="269168"/>
                  </a:lnTo>
                  <a:lnTo>
                    <a:pt x="838415" y="269168"/>
                  </a:lnTo>
                  <a:lnTo>
                    <a:pt x="838415" y="209926"/>
                  </a:lnTo>
                  <a:lnTo>
                    <a:pt x="765649" y="209926"/>
                  </a:lnTo>
                  <a:lnTo>
                    <a:pt x="765649" y="151327"/>
                  </a:lnTo>
                  <a:lnTo>
                    <a:pt x="838415" y="151327"/>
                  </a:lnTo>
                  <a:lnTo>
                    <a:pt x="838415" y="92084"/>
                  </a:lnTo>
                  <a:lnTo>
                    <a:pt x="765649" y="92084"/>
                  </a:lnTo>
                  <a:lnTo>
                    <a:pt x="765649" y="36705"/>
                  </a:lnTo>
                  <a:close/>
                  <a:moveTo>
                    <a:pt x="632997" y="192539"/>
                  </a:moveTo>
                  <a:lnTo>
                    <a:pt x="462352" y="192539"/>
                  </a:lnTo>
                  <a:cubicBezTo>
                    <a:pt x="468147" y="211857"/>
                    <a:pt x="488109" y="216365"/>
                    <a:pt x="508072" y="216365"/>
                  </a:cubicBezTo>
                  <a:cubicBezTo>
                    <a:pt x="527390" y="216365"/>
                    <a:pt x="538337" y="215077"/>
                    <a:pt x="548640" y="209926"/>
                  </a:cubicBezTo>
                  <a:lnTo>
                    <a:pt x="627845" y="209926"/>
                  </a:lnTo>
                  <a:cubicBezTo>
                    <a:pt x="616254" y="252426"/>
                    <a:pt x="577617" y="273032"/>
                    <a:pt x="508072" y="273032"/>
                  </a:cubicBezTo>
                  <a:cubicBezTo>
                    <a:pt x="437882" y="273032"/>
                    <a:pt x="388942" y="246630"/>
                    <a:pt x="388942" y="180304"/>
                  </a:cubicBezTo>
                  <a:cubicBezTo>
                    <a:pt x="388942" y="113978"/>
                    <a:pt x="437882" y="87576"/>
                    <a:pt x="511291" y="87576"/>
                  </a:cubicBezTo>
                  <a:cubicBezTo>
                    <a:pt x="585345" y="87576"/>
                    <a:pt x="632997" y="113978"/>
                    <a:pt x="632997" y="192539"/>
                  </a:cubicBezTo>
                  <a:close/>
                  <a:moveTo>
                    <a:pt x="556367" y="152615"/>
                  </a:moveTo>
                  <a:cubicBezTo>
                    <a:pt x="547996" y="140380"/>
                    <a:pt x="529966" y="135228"/>
                    <a:pt x="510647" y="135228"/>
                  </a:cubicBezTo>
                  <a:cubicBezTo>
                    <a:pt x="491329" y="135228"/>
                    <a:pt x="473299" y="141024"/>
                    <a:pt x="465571" y="152615"/>
                  </a:cubicBezTo>
                  <a:lnTo>
                    <a:pt x="556367" y="152615"/>
                  </a:lnTo>
                  <a:close/>
                  <a:moveTo>
                    <a:pt x="1041901" y="186744"/>
                  </a:moveTo>
                  <a:cubicBezTo>
                    <a:pt x="1028378" y="199622"/>
                    <a:pt x="1006484" y="208638"/>
                    <a:pt x="985878" y="208638"/>
                  </a:cubicBezTo>
                  <a:cubicBezTo>
                    <a:pt x="954325" y="208638"/>
                    <a:pt x="943377" y="195759"/>
                    <a:pt x="943377" y="165493"/>
                  </a:cubicBezTo>
                  <a:lnTo>
                    <a:pt x="943377" y="92084"/>
                  </a:lnTo>
                  <a:lnTo>
                    <a:pt x="870612" y="92084"/>
                  </a:lnTo>
                  <a:lnTo>
                    <a:pt x="870612" y="194471"/>
                  </a:lnTo>
                  <a:cubicBezTo>
                    <a:pt x="870612" y="257577"/>
                    <a:pt x="918264" y="269812"/>
                    <a:pt x="957544" y="269812"/>
                  </a:cubicBezTo>
                  <a:cubicBezTo>
                    <a:pt x="994249" y="269812"/>
                    <a:pt x="1021295" y="258221"/>
                    <a:pt x="1041901" y="243411"/>
                  </a:cubicBezTo>
                  <a:lnTo>
                    <a:pt x="1041901" y="268524"/>
                  </a:lnTo>
                  <a:lnTo>
                    <a:pt x="1114667" y="268524"/>
                  </a:lnTo>
                  <a:lnTo>
                    <a:pt x="1114667" y="91440"/>
                  </a:lnTo>
                  <a:lnTo>
                    <a:pt x="1041901" y="91440"/>
                  </a:lnTo>
                  <a:lnTo>
                    <a:pt x="1041901" y="186744"/>
                  </a:lnTo>
                  <a:close/>
                  <a:moveTo>
                    <a:pt x="1457888" y="89508"/>
                  </a:moveTo>
                  <a:cubicBezTo>
                    <a:pt x="1414744" y="89508"/>
                    <a:pt x="1388987" y="103031"/>
                    <a:pt x="1371600" y="123637"/>
                  </a:cubicBezTo>
                  <a:cubicBezTo>
                    <a:pt x="1357433" y="97879"/>
                    <a:pt x="1327168" y="89508"/>
                    <a:pt x="1305274" y="89508"/>
                  </a:cubicBezTo>
                  <a:cubicBezTo>
                    <a:pt x="1262130" y="89508"/>
                    <a:pt x="1241523" y="106895"/>
                    <a:pt x="1225425" y="121705"/>
                  </a:cubicBezTo>
                  <a:lnTo>
                    <a:pt x="1225425" y="92084"/>
                  </a:lnTo>
                  <a:lnTo>
                    <a:pt x="1152659" y="92084"/>
                  </a:lnTo>
                  <a:lnTo>
                    <a:pt x="1152659" y="269168"/>
                  </a:lnTo>
                  <a:lnTo>
                    <a:pt x="1225425" y="269168"/>
                  </a:lnTo>
                  <a:lnTo>
                    <a:pt x="1225425" y="173865"/>
                  </a:lnTo>
                  <a:cubicBezTo>
                    <a:pt x="1240236" y="159054"/>
                    <a:pt x="1255690" y="151327"/>
                    <a:pt x="1273721" y="151327"/>
                  </a:cubicBezTo>
                  <a:cubicBezTo>
                    <a:pt x="1299478" y="151327"/>
                    <a:pt x="1307850" y="164206"/>
                    <a:pt x="1307850" y="194471"/>
                  </a:cubicBezTo>
                  <a:lnTo>
                    <a:pt x="1307850" y="269168"/>
                  </a:lnTo>
                  <a:lnTo>
                    <a:pt x="1380615" y="269168"/>
                  </a:lnTo>
                  <a:lnTo>
                    <a:pt x="1380615" y="171933"/>
                  </a:lnTo>
                  <a:cubicBezTo>
                    <a:pt x="1395426" y="157122"/>
                    <a:pt x="1408305" y="151327"/>
                    <a:pt x="1426335" y="151327"/>
                  </a:cubicBezTo>
                  <a:cubicBezTo>
                    <a:pt x="1452093" y="151327"/>
                    <a:pt x="1460464" y="164206"/>
                    <a:pt x="1460464" y="194471"/>
                  </a:cubicBezTo>
                  <a:lnTo>
                    <a:pt x="1460464" y="269168"/>
                  </a:lnTo>
                  <a:lnTo>
                    <a:pt x="1533230" y="269168"/>
                  </a:lnTo>
                  <a:lnTo>
                    <a:pt x="1533230" y="162918"/>
                  </a:lnTo>
                  <a:cubicBezTo>
                    <a:pt x="1533230" y="101743"/>
                    <a:pt x="1488798" y="89508"/>
                    <a:pt x="1457888" y="89508"/>
                  </a:cubicBezTo>
                  <a:close/>
                  <a:moveTo>
                    <a:pt x="0" y="92084"/>
                  </a:moveTo>
                  <a:lnTo>
                    <a:pt x="0" y="269168"/>
                  </a:lnTo>
                  <a:lnTo>
                    <a:pt x="72766" y="269168"/>
                  </a:lnTo>
                  <a:lnTo>
                    <a:pt x="72766" y="92084"/>
                  </a:lnTo>
                  <a:lnTo>
                    <a:pt x="0" y="92084"/>
                  </a:lnTo>
                  <a:close/>
                  <a:moveTo>
                    <a:pt x="72766" y="0"/>
                  </a:moveTo>
                  <a:lnTo>
                    <a:pt x="0" y="0"/>
                  </a:lnTo>
                  <a:lnTo>
                    <a:pt x="0" y="72766"/>
                  </a:lnTo>
                  <a:lnTo>
                    <a:pt x="72766" y="72766"/>
                  </a:lnTo>
                  <a:lnTo>
                    <a:pt x="72766" y="0"/>
                  </a:lnTo>
                  <a:close/>
                </a:path>
              </a:pathLst>
            </a:custGeom>
            <a:solidFill>
              <a:srgbClr val="232D4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  <xdr:sp macro="" textlink="">
          <xdr:nvSpPr>
            <xdr:cNvPr id="11" name="Forme libre : forme 20">
              <a:extLst>
                <a:ext uri="{FF2B5EF4-FFF2-40B4-BE49-F238E27FC236}">
                  <a16:creationId xmlns:a16="http://schemas.microsoft.com/office/drawing/2014/main" id="{E91F90F2-55A7-40C7-8FC9-E7CC80412113}"/>
                </a:ext>
              </a:extLst>
            </xdr:cNvPr>
            <xdr:cNvSpPr/>
          </xdr:nvSpPr>
          <xdr:spPr>
            <a:xfrm>
              <a:off x="15119439" y="697487"/>
              <a:ext cx="218296" cy="218940"/>
            </a:xfrm>
            <a:custGeom>
              <a:avLst/>
              <a:gdLst>
                <a:gd name="connsiteX0" fmla="*/ 72766 w 218296"/>
                <a:gd name="connsiteY0" fmla="*/ 0 h 218940"/>
                <a:gd name="connsiteX1" fmla="*/ 72766 w 218296"/>
                <a:gd name="connsiteY1" fmla="*/ 72766 h 218940"/>
                <a:gd name="connsiteX2" fmla="*/ 145531 w 218296"/>
                <a:gd name="connsiteY2" fmla="*/ 72766 h 218940"/>
                <a:gd name="connsiteX3" fmla="*/ 145531 w 218296"/>
                <a:gd name="connsiteY3" fmla="*/ 145531 h 218940"/>
                <a:gd name="connsiteX4" fmla="*/ 218297 w 218296"/>
                <a:gd name="connsiteY4" fmla="*/ 145531 h 218940"/>
                <a:gd name="connsiteX5" fmla="*/ 218297 w 218296"/>
                <a:gd name="connsiteY5" fmla="*/ 0 h 218940"/>
                <a:gd name="connsiteX6" fmla="*/ 72766 w 218296"/>
                <a:gd name="connsiteY6" fmla="*/ 0 h 218940"/>
                <a:gd name="connsiteX7" fmla="*/ 72766 w 218296"/>
                <a:gd name="connsiteY7" fmla="*/ 146175 h 218940"/>
                <a:gd name="connsiteX8" fmla="*/ 0 w 218296"/>
                <a:gd name="connsiteY8" fmla="*/ 146175 h 218940"/>
                <a:gd name="connsiteX9" fmla="*/ 0 w 218296"/>
                <a:gd name="connsiteY9" fmla="*/ 218941 h 218940"/>
                <a:gd name="connsiteX10" fmla="*/ 72766 w 218296"/>
                <a:gd name="connsiteY10" fmla="*/ 218941 h 218940"/>
                <a:gd name="connsiteX11" fmla="*/ 72766 w 218296"/>
                <a:gd name="connsiteY11" fmla="*/ 146175 h 2189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218296" h="218940">
                  <a:moveTo>
                    <a:pt x="72766" y="0"/>
                  </a:moveTo>
                  <a:lnTo>
                    <a:pt x="72766" y="72766"/>
                  </a:lnTo>
                  <a:lnTo>
                    <a:pt x="145531" y="72766"/>
                  </a:lnTo>
                  <a:lnTo>
                    <a:pt x="145531" y="145531"/>
                  </a:lnTo>
                  <a:lnTo>
                    <a:pt x="218297" y="145531"/>
                  </a:lnTo>
                  <a:lnTo>
                    <a:pt x="218297" y="0"/>
                  </a:lnTo>
                  <a:lnTo>
                    <a:pt x="72766" y="0"/>
                  </a:lnTo>
                  <a:close/>
                  <a:moveTo>
                    <a:pt x="72766" y="146175"/>
                  </a:moveTo>
                  <a:lnTo>
                    <a:pt x="0" y="146175"/>
                  </a:lnTo>
                  <a:lnTo>
                    <a:pt x="0" y="218941"/>
                  </a:lnTo>
                  <a:lnTo>
                    <a:pt x="72766" y="218941"/>
                  </a:lnTo>
                  <a:lnTo>
                    <a:pt x="72766" y="146175"/>
                  </a:lnTo>
                  <a:close/>
                </a:path>
              </a:pathLst>
            </a:custGeom>
            <a:solidFill>
              <a:srgbClr val="00AA9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</xdr:grpSp>
    </xdr:grpSp>
    <xdr:clientData/>
  </xdr:twoCellAnchor>
  <xdr:twoCellAnchor>
    <xdr:from>
      <xdr:col>1</xdr:col>
      <xdr:colOff>134471</xdr:colOff>
      <xdr:row>1</xdr:row>
      <xdr:rowOff>164352</xdr:rowOff>
    </xdr:from>
    <xdr:to>
      <xdr:col>1</xdr:col>
      <xdr:colOff>1942122</xdr:colOff>
      <xdr:row>4</xdr:row>
      <xdr:rowOff>50879</xdr:rowOff>
    </xdr:to>
    <xdr:grpSp>
      <xdr:nvGrpSpPr>
        <xdr:cNvPr id="2" name="Graphique 9">
          <a:extLst>
            <a:ext uri="{FF2B5EF4-FFF2-40B4-BE49-F238E27FC236}">
              <a16:creationId xmlns:a16="http://schemas.microsoft.com/office/drawing/2014/main" id="{B6E7B16E-7A71-4523-BDC0-3A143FCA8D1A}"/>
            </a:ext>
          </a:extLst>
        </xdr:cNvPr>
        <xdr:cNvGrpSpPr>
          <a:grpSpLocks noChangeAspect="1"/>
        </xdr:cNvGrpSpPr>
      </xdr:nvGrpSpPr>
      <xdr:grpSpPr>
        <a:xfrm>
          <a:off x="496421" y="345327"/>
          <a:ext cx="1807651" cy="581852"/>
          <a:chOff x="13512800" y="647260"/>
          <a:chExt cx="1824935" cy="432728"/>
        </a:xfrm>
      </xdr:grpSpPr>
      <xdr:sp macro="" textlink="">
        <xdr:nvSpPr>
          <xdr:cNvPr id="3" name="Forme libre : forme 17">
            <a:extLst>
              <a:ext uri="{FF2B5EF4-FFF2-40B4-BE49-F238E27FC236}">
                <a16:creationId xmlns:a16="http://schemas.microsoft.com/office/drawing/2014/main" id="{D838BDD4-7D93-A44C-611C-AB0445AEE048}"/>
              </a:ext>
            </a:extLst>
          </xdr:cNvPr>
          <xdr:cNvSpPr/>
        </xdr:nvSpPr>
        <xdr:spPr>
          <a:xfrm>
            <a:off x="13798067" y="988549"/>
            <a:ext cx="1254402" cy="91439"/>
          </a:xfrm>
          <a:custGeom>
            <a:avLst/>
            <a:gdLst>
              <a:gd name="connsiteX0" fmla="*/ 70834 w 1254402"/>
              <a:gd name="connsiteY0" fmla="*/ 31553 h 91439"/>
              <a:gd name="connsiteX1" fmla="*/ 47652 w 1254402"/>
              <a:gd name="connsiteY1" fmla="*/ 53447 h 91439"/>
              <a:gd name="connsiteX2" fmla="*/ 15455 w 1254402"/>
              <a:gd name="connsiteY2" fmla="*/ 53447 h 91439"/>
              <a:gd name="connsiteX3" fmla="*/ 15455 w 1254402"/>
              <a:gd name="connsiteY3" fmla="*/ 69546 h 91439"/>
              <a:gd name="connsiteX4" fmla="*/ 0 w 1254402"/>
              <a:gd name="connsiteY4" fmla="*/ 69546 h 91439"/>
              <a:gd name="connsiteX5" fmla="*/ 0 w 1254402"/>
              <a:gd name="connsiteY5" fmla="*/ 9015 h 91439"/>
              <a:gd name="connsiteX6" fmla="*/ 47652 w 1254402"/>
              <a:gd name="connsiteY6" fmla="*/ 9015 h 91439"/>
              <a:gd name="connsiteX7" fmla="*/ 70834 w 1254402"/>
              <a:gd name="connsiteY7" fmla="*/ 31553 h 91439"/>
              <a:gd name="connsiteX8" fmla="*/ 55379 w 1254402"/>
              <a:gd name="connsiteY8" fmla="*/ 31553 h 91439"/>
              <a:gd name="connsiteX9" fmla="*/ 43788 w 1254402"/>
              <a:gd name="connsiteY9" fmla="*/ 22538 h 91439"/>
              <a:gd name="connsiteX10" fmla="*/ 16099 w 1254402"/>
              <a:gd name="connsiteY10" fmla="*/ 22538 h 91439"/>
              <a:gd name="connsiteX11" fmla="*/ 16099 w 1254402"/>
              <a:gd name="connsiteY11" fmla="*/ 40568 h 91439"/>
              <a:gd name="connsiteX12" fmla="*/ 43144 w 1254402"/>
              <a:gd name="connsiteY12" fmla="*/ 40568 h 91439"/>
              <a:gd name="connsiteX13" fmla="*/ 55379 w 1254402"/>
              <a:gd name="connsiteY13" fmla="*/ 31553 h 91439"/>
              <a:gd name="connsiteX14" fmla="*/ 79849 w 1254402"/>
              <a:gd name="connsiteY14" fmla="*/ 44432 h 91439"/>
              <a:gd name="connsiteX15" fmla="*/ 115266 w 1254402"/>
              <a:gd name="connsiteY15" fmla="*/ 18030 h 91439"/>
              <a:gd name="connsiteX16" fmla="*/ 150683 w 1254402"/>
              <a:gd name="connsiteY16" fmla="*/ 44432 h 91439"/>
              <a:gd name="connsiteX17" fmla="*/ 115266 w 1254402"/>
              <a:gd name="connsiteY17" fmla="*/ 70834 h 91439"/>
              <a:gd name="connsiteX18" fmla="*/ 79849 w 1254402"/>
              <a:gd name="connsiteY18" fmla="*/ 44432 h 91439"/>
              <a:gd name="connsiteX19" fmla="*/ 135228 w 1254402"/>
              <a:gd name="connsiteY19" fmla="*/ 44432 h 91439"/>
              <a:gd name="connsiteX20" fmla="*/ 114622 w 1254402"/>
              <a:gd name="connsiteY20" fmla="*/ 30265 h 91439"/>
              <a:gd name="connsiteX21" fmla="*/ 94016 w 1254402"/>
              <a:gd name="connsiteY21" fmla="*/ 44432 h 91439"/>
              <a:gd name="connsiteX22" fmla="*/ 114622 w 1254402"/>
              <a:gd name="connsiteY22" fmla="*/ 58599 h 91439"/>
              <a:gd name="connsiteX23" fmla="*/ 135228 w 1254402"/>
              <a:gd name="connsiteY23" fmla="*/ 44432 h 91439"/>
              <a:gd name="connsiteX24" fmla="*/ 173221 w 1254402"/>
              <a:gd name="connsiteY24" fmla="*/ 52159 h 91439"/>
              <a:gd name="connsiteX25" fmla="*/ 195115 w 1254402"/>
              <a:gd name="connsiteY25" fmla="*/ 59887 h 91439"/>
              <a:gd name="connsiteX26" fmla="*/ 213789 w 1254402"/>
              <a:gd name="connsiteY26" fmla="*/ 54735 h 91439"/>
              <a:gd name="connsiteX27" fmla="*/ 193827 w 1254402"/>
              <a:gd name="connsiteY27" fmla="*/ 49584 h 91439"/>
              <a:gd name="connsiteX28" fmla="*/ 160342 w 1254402"/>
              <a:gd name="connsiteY28" fmla="*/ 34129 h 91439"/>
              <a:gd name="connsiteX29" fmla="*/ 193827 w 1254402"/>
              <a:gd name="connsiteY29" fmla="*/ 18674 h 91439"/>
              <a:gd name="connsiteX30" fmla="*/ 226668 w 1254402"/>
              <a:gd name="connsiteY30" fmla="*/ 35417 h 91439"/>
              <a:gd name="connsiteX31" fmla="*/ 211857 w 1254402"/>
              <a:gd name="connsiteY31" fmla="*/ 35417 h 91439"/>
              <a:gd name="connsiteX32" fmla="*/ 192539 w 1254402"/>
              <a:gd name="connsiteY32" fmla="*/ 30265 h 91439"/>
              <a:gd name="connsiteX33" fmla="*/ 174509 w 1254402"/>
              <a:gd name="connsiteY33" fmla="*/ 34129 h 91439"/>
              <a:gd name="connsiteX34" fmla="*/ 194471 w 1254402"/>
              <a:gd name="connsiteY34" fmla="*/ 39281 h 91439"/>
              <a:gd name="connsiteX35" fmla="*/ 227956 w 1254402"/>
              <a:gd name="connsiteY35" fmla="*/ 54735 h 91439"/>
              <a:gd name="connsiteX36" fmla="*/ 195759 w 1254402"/>
              <a:gd name="connsiteY36" fmla="*/ 71478 h 91439"/>
              <a:gd name="connsiteX37" fmla="*/ 158410 w 1254402"/>
              <a:gd name="connsiteY37" fmla="*/ 52803 h 91439"/>
              <a:gd name="connsiteX38" fmla="*/ 173221 w 1254402"/>
              <a:gd name="connsiteY38" fmla="*/ 52803 h 91439"/>
              <a:gd name="connsiteX39" fmla="*/ 254358 w 1254402"/>
              <a:gd name="connsiteY39" fmla="*/ 644 h 91439"/>
              <a:gd name="connsiteX40" fmla="*/ 254358 w 1254402"/>
              <a:gd name="connsiteY40" fmla="*/ 13523 h 91439"/>
              <a:gd name="connsiteX41" fmla="*/ 239547 w 1254402"/>
              <a:gd name="connsiteY41" fmla="*/ 13523 h 91439"/>
              <a:gd name="connsiteX42" fmla="*/ 239547 w 1254402"/>
              <a:gd name="connsiteY42" fmla="*/ 644 h 91439"/>
              <a:gd name="connsiteX43" fmla="*/ 254358 w 1254402"/>
              <a:gd name="connsiteY43" fmla="*/ 644 h 91439"/>
              <a:gd name="connsiteX44" fmla="*/ 254358 w 1254402"/>
              <a:gd name="connsiteY44" fmla="*/ 19318 h 91439"/>
              <a:gd name="connsiteX45" fmla="*/ 254358 w 1254402"/>
              <a:gd name="connsiteY45" fmla="*/ 70190 h 91439"/>
              <a:gd name="connsiteX46" fmla="*/ 239547 w 1254402"/>
              <a:gd name="connsiteY46" fmla="*/ 70190 h 91439"/>
              <a:gd name="connsiteX47" fmla="*/ 239547 w 1254402"/>
              <a:gd name="connsiteY47" fmla="*/ 19318 h 91439"/>
              <a:gd name="connsiteX48" fmla="*/ 254358 w 1254402"/>
              <a:gd name="connsiteY48" fmla="*/ 19318 h 91439"/>
              <a:gd name="connsiteX49" fmla="*/ 292994 w 1254402"/>
              <a:gd name="connsiteY49" fmla="*/ 31553 h 91439"/>
              <a:gd name="connsiteX50" fmla="*/ 292994 w 1254402"/>
              <a:gd name="connsiteY50" fmla="*/ 46364 h 91439"/>
              <a:gd name="connsiteX51" fmla="*/ 303941 w 1254402"/>
              <a:gd name="connsiteY51" fmla="*/ 58599 h 91439"/>
              <a:gd name="connsiteX52" fmla="*/ 316820 w 1254402"/>
              <a:gd name="connsiteY52" fmla="*/ 57955 h 91439"/>
              <a:gd name="connsiteX53" fmla="*/ 316820 w 1254402"/>
              <a:gd name="connsiteY53" fmla="*/ 69546 h 91439"/>
              <a:gd name="connsiteX54" fmla="*/ 299434 w 1254402"/>
              <a:gd name="connsiteY54" fmla="*/ 70834 h 91439"/>
              <a:gd name="connsiteX55" fmla="*/ 278184 w 1254402"/>
              <a:gd name="connsiteY55" fmla="*/ 54735 h 91439"/>
              <a:gd name="connsiteX56" fmla="*/ 278184 w 1254402"/>
              <a:gd name="connsiteY56" fmla="*/ 31553 h 91439"/>
              <a:gd name="connsiteX57" fmla="*/ 264661 w 1254402"/>
              <a:gd name="connsiteY57" fmla="*/ 31553 h 91439"/>
              <a:gd name="connsiteX58" fmla="*/ 264661 w 1254402"/>
              <a:gd name="connsiteY58" fmla="*/ 19318 h 91439"/>
              <a:gd name="connsiteX59" fmla="*/ 278184 w 1254402"/>
              <a:gd name="connsiteY59" fmla="*/ 19318 h 91439"/>
              <a:gd name="connsiteX60" fmla="*/ 278184 w 1254402"/>
              <a:gd name="connsiteY60" fmla="*/ 9015 h 91439"/>
              <a:gd name="connsiteX61" fmla="*/ 292994 w 1254402"/>
              <a:gd name="connsiteY61" fmla="*/ 4508 h 91439"/>
              <a:gd name="connsiteX62" fmla="*/ 292994 w 1254402"/>
              <a:gd name="connsiteY62" fmla="*/ 19318 h 91439"/>
              <a:gd name="connsiteX63" fmla="*/ 316820 w 1254402"/>
              <a:gd name="connsiteY63" fmla="*/ 19318 h 91439"/>
              <a:gd name="connsiteX64" fmla="*/ 316820 w 1254402"/>
              <a:gd name="connsiteY64" fmla="*/ 31553 h 91439"/>
              <a:gd name="connsiteX65" fmla="*/ 292994 w 1254402"/>
              <a:gd name="connsiteY65" fmla="*/ 31553 h 91439"/>
              <a:gd name="connsiteX66" fmla="*/ 342578 w 1254402"/>
              <a:gd name="connsiteY66" fmla="*/ 644 h 91439"/>
              <a:gd name="connsiteX67" fmla="*/ 342578 w 1254402"/>
              <a:gd name="connsiteY67" fmla="*/ 13523 h 91439"/>
              <a:gd name="connsiteX68" fmla="*/ 327767 w 1254402"/>
              <a:gd name="connsiteY68" fmla="*/ 13523 h 91439"/>
              <a:gd name="connsiteX69" fmla="*/ 327767 w 1254402"/>
              <a:gd name="connsiteY69" fmla="*/ 644 h 91439"/>
              <a:gd name="connsiteX70" fmla="*/ 342578 w 1254402"/>
              <a:gd name="connsiteY70" fmla="*/ 644 h 91439"/>
              <a:gd name="connsiteX71" fmla="*/ 342578 w 1254402"/>
              <a:gd name="connsiteY71" fmla="*/ 19318 h 91439"/>
              <a:gd name="connsiteX72" fmla="*/ 342578 w 1254402"/>
              <a:gd name="connsiteY72" fmla="*/ 70190 h 91439"/>
              <a:gd name="connsiteX73" fmla="*/ 327767 w 1254402"/>
              <a:gd name="connsiteY73" fmla="*/ 70190 h 91439"/>
              <a:gd name="connsiteX74" fmla="*/ 327767 w 1254402"/>
              <a:gd name="connsiteY74" fmla="*/ 19318 h 91439"/>
              <a:gd name="connsiteX75" fmla="*/ 342578 w 1254402"/>
              <a:gd name="connsiteY75" fmla="*/ 19318 h 91439"/>
              <a:gd name="connsiteX76" fmla="*/ 424359 w 1254402"/>
              <a:gd name="connsiteY76" fmla="*/ 19318 h 91439"/>
              <a:gd name="connsiteX77" fmla="*/ 398601 w 1254402"/>
              <a:gd name="connsiteY77" fmla="*/ 70190 h 91439"/>
              <a:gd name="connsiteX78" fmla="*/ 377995 w 1254402"/>
              <a:gd name="connsiteY78" fmla="*/ 70190 h 91439"/>
              <a:gd name="connsiteX79" fmla="*/ 352237 w 1254402"/>
              <a:gd name="connsiteY79" fmla="*/ 19318 h 91439"/>
              <a:gd name="connsiteX80" fmla="*/ 368336 w 1254402"/>
              <a:gd name="connsiteY80" fmla="*/ 19318 h 91439"/>
              <a:gd name="connsiteX81" fmla="*/ 388298 w 1254402"/>
              <a:gd name="connsiteY81" fmla="*/ 59887 h 91439"/>
              <a:gd name="connsiteX82" fmla="*/ 408260 w 1254402"/>
              <a:gd name="connsiteY82" fmla="*/ 19318 h 91439"/>
              <a:gd name="connsiteX83" fmla="*/ 424359 w 1254402"/>
              <a:gd name="connsiteY83" fmla="*/ 19318 h 91439"/>
              <a:gd name="connsiteX84" fmla="*/ 481670 w 1254402"/>
              <a:gd name="connsiteY84" fmla="*/ 51515 h 91439"/>
              <a:gd name="connsiteX85" fmla="*/ 496481 w 1254402"/>
              <a:gd name="connsiteY85" fmla="*/ 51515 h 91439"/>
              <a:gd name="connsiteX86" fmla="*/ 461708 w 1254402"/>
              <a:gd name="connsiteY86" fmla="*/ 70834 h 91439"/>
              <a:gd name="connsiteX87" fmla="*/ 427579 w 1254402"/>
              <a:gd name="connsiteY87" fmla="*/ 44432 h 91439"/>
              <a:gd name="connsiteX88" fmla="*/ 462995 w 1254402"/>
              <a:gd name="connsiteY88" fmla="*/ 18030 h 91439"/>
              <a:gd name="connsiteX89" fmla="*/ 497768 w 1254402"/>
              <a:gd name="connsiteY89" fmla="*/ 47652 h 91439"/>
              <a:gd name="connsiteX90" fmla="*/ 442389 w 1254402"/>
              <a:gd name="connsiteY90" fmla="*/ 47652 h 91439"/>
              <a:gd name="connsiteX91" fmla="*/ 461708 w 1254402"/>
              <a:gd name="connsiteY91" fmla="*/ 58599 h 91439"/>
              <a:gd name="connsiteX92" fmla="*/ 481670 w 1254402"/>
              <a:gd name="connsiteY92" fmla="*/ 51515 h 91439"/>
              <a:gd name="connsiteX93" fmla="*/ 442389 w 1254402"/>
              <a:gd name="connsiteY93" fmla="*/ 38637 h 91439"/>
              <a:gd name="connsiteX94" fmla="*/ 481026 w 1254402"/>
              <a:gd name="connsiteY94" fmla="*/ 38637 h 91439"/>
              <a:gd name="connsiteX95" fmla="*/ 461708 w 1254402"/>
              <a:gd name="connsiteY95" fmla="*/ 29621 h 91439"/>
              <a:gd name="connsiteX96" fmla="*/ 442389 w 1254402"/>
              <a:gd name="connsiteY96" fmla="*/ 38637 h 91439"/>
              <a:gd name="connsiteX97" fmla="*/ 622694 w 1254402"/>
              <a:gd name="connsiteY97" fmla="*/ 644 h 91439"/>
              <a:gd name="connsiteX98" fmla="*/ 622694 w 1254402"/>
              <a:gd name="connsiteY98" fmla="*/ 69546 h 91439"/>
              <a:gd name="connsiteX99" fmla="*/ 607883 w 1254402"/>
              <a:gd name="connsiteY99" fmla="*/ 69546 h 91439"/>
              <a:gd name="connsiteX100" fmla="*/ 607883 w 1254402"/>
              <a:gd name="connsiteY100" fmla="*/ 61819 h 91439"/>
              <a:gd name="connsiteX101" fmla="*/ 582769 w 1254402"/>
              <a:gd name="connsiteY101" fmla="*/ 70834 h 91439"/>
              <a:gd name="connsiteX102" fmla="*/ 552504 w 1254402"/>
              <a:gd name="connsiteY102" fmla="*/ 44432 h 91439"/>
              <a:gd name="connsiteX103" fmla="*/ 582769 w 1254402"/>
              <a:gd name="connsiteY103" fmla="*/ 18030 h 91439"/>
              <a:gd name="connsiteX104" fmla="*/ 607883 w 1254402"/>
              <a:gd name="connsiteY104" fmla="*/ 27046 h 91439"/>
              <a:gd name="connsiteX105" fmla="*/ 607883 w 1254402"/>
              <a:gd name="connsiteY105" fmla="*/ 644 h 91439"/>
              <a:gd name="connsiteX106" fmla="*/ 622694 w 1254402"/>
              <a:gd name="connsiteY106" fmla="*/ 644 h 91439"/>
              <a:gd name="connsiteX107" fmla="*/ 607883 w 1254402"/>
              <a:gd name="connsiteY107" fmla="*/ 44432 h 91439"/>
              <a:gd name="connsiteX108" fmla="*/ 587277 w 1254402"/>
              <a:gd name="connsiteY108" fmla="*/ 30265 h 91439"/>
              <a:gd name="connsiteX109" fmla="*/ 566670 w 1254402"/>
              <a:gd name="connsiteY109" fmla="*/ 44432 h 91439"/>
              <a:gd name="connsiteX110" fmla="*/ 587277 w 1254402"/>
              <a:gd name="connsiteY110" fmla="*/ 58599 h 91439"/>
              <a:gd name="connsiteX111" fmla="*/ 607883 w 1254402"/>
              <a:gd name="connsiteY111" fmla="*/ 44432 h 91439"/>
              <a:gd name="connsiteX112" fmla="*/ 649739 w 1254402"/>
              <a:gd name="connsiteY112" fmla="*/ 644 h 91439"/>
              <a:gd name="connsiteX113" fmla="*/ 649739 w 1254402"/>
              <a:gd name="connsiteY113" fmla="*/ 13523 h 91439"/>
              <a:gd name="connsiteX114" fmla="*/ 634928 w 1254402"/>
              <a:gd name="connsiteY114" fmla="*/ 13523 h 91439"/>
              <a:gd name="connsiteX115" fmla="*/ 634928 w 1254402"/>
              <a:gd name="connsiteY115" fmla="*/ 644 h 91439"/>
              <a:gd name="connsiteX116" fmla="*/ 649739 w 1254402"/>
              <a:gd name="connsiteY116" fmla="*/ 644 h 91439"/>
              <a:gd name="connsiteX117" fmla="*/ 649739 w 1254402"/>
              <a:gd name="connsiteY117" fmla="*/ 19318 h 91439"/>
              <a:gd name="connsiteX118" fmla="*/ 649739 w 1254402"/>
              <a:gd name="connsiteY118" fmla="*/ 70190 h 91439"/>
              <a:gd name="connsiteX119" fmla="*/ 634928 w 1254402"/>
              <a:gd name="connsiteY119" fmla="*/ 70190 h 91439"/>
              <a:gd name="connsiteX120" fmla="*/ 634928 w 1254402"/>
              <a:gd name="connsiteY120" fmla="*/ 19318 h 91439"/>
              <a:gd name="connsiteX121" fmla="*/ 649739 w 1254402"/>
              <a:gd name="connsiteY121" fmla="*/ 19318 h 91439"/>
              <a:gd name="connsiteX122" fmla="*/ 730876 w 1254402"/>
              <a:gd name="connsiteY122" fmla="*/ 19318 h 91439"/>
              <a:gd name="connsiteX123" fmla="*/ 730876 w 1254402"/>
              <a:gd name="connsiteY123" fmla="*/ 61819 h 91439"/>
              <a:gd name="connsiteX124" fmla="*/ 698035 w 1254402"/>
              <a:gd name="connsiteY124" fmla="*/ 91440 h 91439"/>
              <a:gd name="connsiteX125" fmla="*/ 666482 w 1254402"/>
              <a:gd name="connsiteY125" fmla="*/ 87576 h 91439"/>
              <a:gd name="connsiteX126" fmla="*/ 666482 w 1254402"/>
              <a:gd name="connsiteY126" fmla="*/ 75985 h 91439"/>
              <a:gd name="connsiteX127" fmla="*/ 694815 w 1254402"/>
              <a:gd name="connsiteY127" fmla="*/ 79849 h 91439"/>
              <a:gd name="connsiteX128" fmla="*/ 716065 w 1254402"/>
              <a:gd name="connsiteY128" fmla="*/ 61175 h 91439"/>
              <a:gd name="connsiteX129" fmla="*/ 690308 w 1254402"/>
              <a:gd name="connsiteY129" fmla="*/ 70190 h 91439"/>
              <a:gd name="connsiteX130" fmla="*/ 660686 w 1254402"/>
              <a:gd name="connsiteY130" fmla="*/ 44432 h 91439"/>
              <a:gd name="connsiteX131" fmla="*/ 690308 w 1254402"/>
              <a:gd name="connsiteY131" fmla="*/ 18674 h 91439"/>
              <a:gd name="connsiteX132" fmla="*/ 716065 w 1254402"/>
              <a:gd name="connsiteY132" fmla="*/ 27690 h 91439"/>
              <a:gd name="connsiteX133" fmla="*/ 716065 w 1254402"/>
              <a:gd name="connsiteY133" fmla="*/ 19318 h 91439"/>
              <a:gd name="connsiteX134" fmla="*/ 730876 w 1254402"/>
              <a:gd name="connsiteY134" fmla="*/ 19318 h 91439"/>
              <a:gd name="connsiteX135" fmla="*/ 715421 w 1254402"/>
              <a:gd name="connsiteY135" fmla="*/ 43788 h 91439"/>
              <a:gd name="connsiteX136" fmla="*/ 694815 w 1254402"/>
              <a:gd name="connsiteY136" fmla="*/ 30909 h 91439"/>
              <a:gd name="connsiteX137" fmla="*/ 674209 w 1254402"/>
              <a:gd name="connsiteY137" fmla="*/ 43788 h 91439"/>
              <a:gd name="connsiteX138" fmla="*/ 694815 w 1254402"/>
              <a:gd name="connsiteY138" fmla="*/ 56667 h 91439"/>
              <a:gd name="connsiteX139" fmla="*/ 715421 w 1254402"/>
              <a:gd name="connsiteY139" fmla="*/ 43788 h 91439"/>
              <a:gd name="connsiteX140" fmla="*/ 757278 w 1254402"/>
              <a:gd name="connsiteY140" fmla="*/ 644 h 91439"/>
              <a:gd name="connsiteX141" fmla="*/ 757278 w 1254402"/>
              <a:gd name="connsiteY141" fmla="*/ 13523 h 91439"/>
              <a:gd name="connsiteX142" fmla="*/ 742467 w 1254402"/>
              <a:gd name="connsiteY142" fmla="*/ 13523 h 91439"/>
              <a:gd name="connsiteX143" fmla="*/ 742467 w 1254402"/>
              <a:gd name="connsiteY143" fmla="*/ 644 h 91439"/>
              <a:gd name="connsiteX144" fmla="*/ 757278 w 1254402"/>
              <a:gd name="connsiteY144" fmla="*/ 644 h 91439"/>
              <a:gd name="connsiteX145" fmla="*/ 757278 w 1254402"/>
              <a:gd name="connsiteY145" fmla="*/ 19318 h 91439"/>
              <a:gd name="connsiteX146" fmla="*/ 757278 w 1254402"/>
              <a:gd name="connsiteY146" fmla="*/ 70190 h 91439"/>
              <a:gd name="connsiteX147" fmla="*/ 742467 w 1254402"/>
              <a:gd name="connsiteY147" fmla="*/ 70190 h 91439"/>
              <a:gd name="connsiteX148" fmla="*/ 742467 w 1254402"/>
              <a:gd name="connsiteY148" fmla="*/ 19318 h 91439"/>
              <a:gd name="connsiteX149" fmla="*/ 757278 w 1254402"/>
              <a:gd name="connsiteY149" fmla="*/ 19318 h 91439"/>
              <a:gd name="connsiteX150" fmla="*/ 795914 w 1254402"/>
              <a:gd name="connsiteY150" fmla="*/ 31553 h 91439"/>
              <a:gd name="connsiteX151" fmla="*/ 795914 w 1254402"/>
              <a:gd name="connsiteY151" fmla="*/ 46364 h 91439"/>
              <a:gd name="connsiteX152" fmla="*/ 806861 w 1254402"/>
              <a:gd name="connsiteY152" fmla="*/ 58599 h 91439"/>
              <a:gd name="connsiteX153" fmla="*/ 819740 w 1254402"/>
              <a:gd name="connsiteY153" fmla="*/ 57955 h 91439"/>
              <a:gd name="connsiteX154" fmla="*/ 819740 w 1254402"/>
              <a:gd name="connsiteY154" fmla="*/ 69546 h 91439"/>
              <a:gd name="connsiteX155" fmla="*/ 802354 w 1254402"/>
              <a:gd name="connsiteY155" fmla="*/ 70834 h 91439"/>
              <a:gd name="connsiteX156" fmla="*/ 781104 w 1254402"/>
              <a:gd name="connsiteY156" fmla="*/ 54735 h 91439"/>
              <a:gd name="connsiteX157" fmla="*/ 781104 w 1254402"/>
              <a:gd name="connsiteY157" fmla="*/ 31553 h 91439"/>
              <a:gd name="connsiteX158" fmla="*/ 767581 w 1254402"/>
              <a:gd name="connsiteY158" fmla="*/ 31553 h 91439"/>
              <a:gd name="connsiteX159" fmla="*/ 767581 w 1254402"/>
              <a:gd name="connsiteY159" fmla="*/ 19318 h 91439"/>
              <a:gd name="connsiteX160" fmla="*/ 781104 w 1254402"/>
              <a:gd name="connsiteY160" fmla="*/ 19318 h 91439"/>
              <a:gd name="connsiteX161" fmla="*/ 781104 w 1254402"/>
              <a:gd name="connsiteY161" fmla="*/ 9015 h 91439"/>
              <a:gd name="connsiteX162" fmla="*/ 795914 w 1254402"/>
              <a:gd name="connsiteY162" fmla="*/ 4508 h 91439"/>
              <a:gd name="connsiteX163" fmla="*/ 795914 w 1254402"/>
              <a:gd name="connsiteY163" fmla="*/ 19318 h 91439"/>
              <a:gd name="connsiteX164" fmla="*/ 819740 w 1254402"/>
              <a:gd name="connsiteY164" fmla="*/ 19318 h 91439"/>
              <a:gd name="connsiteX165" fmla="*/ 819740 w 1254402"/>
              <a:gd name="connsiteY165" fmla="*/ 31553 h 91439"/>
              <a:gd name="connsiteX166" fmla="*/ 795914 w 1254402"/>
              <a:gd name="connsiteY166" fmla="*/ 31553 h 91439"/>
              <a:gd name="connsiteX167" fmla="*/ 898301 w 1254402"/>
              <a:gd name="connsiteY167" fmla="*/ 44432 h 91439"/>
              <a:gd name="connsiteX168" fmla="*/ 898301 w 1254402"/>
              <a:gd name="connsiteY168" fmla="*/ 70190 h 91439"/>
              <a:gd name="connsiteX169" fmla="*/ 883491 w 1254402"/>
              <a:gd name="connsiteY169" fmla="*/ 70190 h 91439"/>
              <a:gd name="connsiteX170" fmla="*/ 883491 w 1254402"/>
              <a:gd name="connsiteY170" fmla="*/ 63750 h 91439"/>
              <a:gd name="connsiteX171" fmla="*/ 852581 w 1254402"/>
              <a:gd name="connsiteY171" fmla="*/ 70834 h 91439"/>
              <a:gd name="connsiteX172" fmla="*/ 829400 w 1254402"/>
              <a:gd name="connsiteY172" fmla="*/ 54735 h 91439"/>
              <a:gd name="connsiteX173" fmla="*/ 860309 w 1254402"/>
              <a:gd name="connsiteY173" fmla="*/ 37349 h 91439"/>
              <a:gd name="connsiteX174" fmla="*/ 883491 w 1254402"/>
              <a:gd name="connsiteY174" fmla="*/ 41212 h 91439"/>
              <a:gd name="connsiteX175" fmla="*/ 864172 w 1254402"/>
              <a:gd name="connsiteY175" fmla="*/ 30909 h 91439"/>
              <a:gd name="connsiteX176" fmla="*/ 839059 w 1254402"/>
              <a:gd name="connsiteY176" fmla="*/ 34773 h 91439"/>
              <a:gd name="connsiteX177" fmla="*/ 833907 w 1254402"/>
              <a:gd name="connsiteY177" fmla="*/ 23826 h 91439"/>
              <a:gd name="connsiteX178" fmla="*/ 864816 w 1254402"/>
              <a:gd name="connsiteY178" fmla="*/ 18674 h 91439"/>
              <a:gd name="connsiteX179" fmla="*/ 898301 w 1254402"/>
              <a:gd name="connsiteY179" fmla="*/ 44432 h 91439"/>
              <a:gd name="connsiteX180" fmla="*/ 883491 w 1254402"/>
              <a:gd name="connsiteY180" fmla="*/ 50228 h 91439"/>
              <a:gd name="connsiteX181" fmla="*/ 862241 w 1254402"/>
              <a:gd name="connsiteY181" fmla="*/ 47008 h 91439"/>
              <a:gd name="connsiteX182" fmla="*/ 844854 w 1254402"/>
              <a:gd name="connsiteY182" fmla="*/ 54091 h 91439"/>
              <a:gd name="connsiteX183" fmla="*/ 857733 w 1254402"/>
              <a:gd name="connsiteY183" fmla="*/ 59887 h 91439"/>
              <a:gd name="connsiteX184" fmla="*/ 884135 w 1254402"/>
              <a:gd name="connsiteY184" fmla="*/ 54091 h 91439"/>
              <a:gd name="connsiteX185" fmla="*/ 884135 w 1254402"/>
              <a:gd name="connsiteY185" fmla="*/ 50228 h 91439"/>
              <a:gd name="connsiteX186" fmla="*/ 925347 w 1254402"/>
              <a:gd name="connsiteY186" fmla="*/ 644 h 91439"/>
              <a:gd name="connsiteX187" fmla="*/ 925347 w 1254402"/>
              <a:gd name="connsiteY187" fmla="*/ 69546 h 91439"/>
              <a:gd name="connsiteX188" fmla="*/ 910536 w 1254402"/>
              <a:gd name="connsiteY188" fmla="*/ 69546 h 91439"/>
              <a:gd name="connsiteX189" fmla="*/ 910536 w 1254402"/>
              <a:gd name="connsiteY189" fmla="*/ 644 h 91439"/>
              <a:gd name="connsiteX190" fmla="*/ 925347 w 1254402"/>
              <a:gd name="connsiteY190" fmla="*/ 644 h 91439"/>
              <a:gd name="connsiteX191" fmla="*/ 1009704 w 1254402"/>
              <a:gd name="connsiteY191" fmla="*/ 19318 h 91439"/>
              <a:gd name="connsiteX192" fmla="*/ 1030954 w 1254402"/>
              <a:gd name="connsiteY192" fmla="*/ 19318 h 91439"/>
              <a:gd name="connsiteX193" fmla="*/ 1030954 w 1254402"/>
              <a:gd name="connsiteY193" fmla="*/ 31553 h 91439"/>
              <a:gd name="connsiteX194" fmla="*/ 1009704 w 1254402"/>
              <a:gd name="connsiteY194" fmla="*/ 31553 h 91439"/>
              <a:gd name="connsiteX195" fmla="*/ 1009704 w 1254402"/>
              <a:gd name="connsiteY195" fmla="*/ 70190 h 91439"/>
              <a:gd name="connsiteX196" fmla="*/ 994893 w 1254402"/>
              <a:gd name="connsiteY196" fmla="*/ 70190 h 91439"/>
              <a:gd name="connsiteX197" fmla="*/ 994893 w 1254402"/>
              <a:gd name="connsiteY197" fmla="*/ 31553 h 91439"/>
              <a:gd name="connsiteX198" fmla="*/ 981370 w 1254402"/>
              <a:gd name="connsiteY198" fmla="*/ 31553 h 91439"/>
              <a:gd name="connsiteX199" fmla="*/ 981370 w 1254402"/>
              <a:gd name="connsiteY199" fmla="*/ 19318 h 91439"/>
              <a:gd name="connsiteX200" fmla="*/ 994893 w 1254402"/>
              <a:gd name="connsiteY200" fmla="*/ 19318 h 91439"/>
              <a:gd name="connsiteX201" fmla="*/ 994893 w 1254402"/>
              <a:gd name="connsiteY201" fmla="*/ 15455 h 91439"/>
              <a:gd name="connsiteX202" fmla="*/ 1016143 w 1254402"/>
              <a:gd name="connsiteY202" fmla="*/ 0 h 91439"/>
              <a:gd name="connsiteX203" fmla="*/ 1031598 w 1254402"/>
              <a:gd name="connsiteY203" fmla="*/ 644 h 91439"/>
              <a:gd name="connsiteX204" fmla="*/ 1031598 w 1254402"/>
              <a:gd name="connsiteY204" fmla="*/ 10947 h 91439"/>
              <a:gd name="connsiteX205" fmla="*/ 1021295 w 1254402"/>
              <a:gd name="connsiteY205" fmla="*/ 10303 h 91439"/>
              <a:gd name="connsiteX206" fmla="*/ 1009704 w 1254402"/>
              <a:gd name="connsiteY206" fmla="*/ 19318 h 91439"/>
              <a:gd name="connsiteX207" fmla="*/ 1056712 w 1254402"/>
              <a:gd name="connsiteY207" fmla="*/ 644 h 91439"/>
              <a:gd name="connsiteX208" fmla="*/ 1056712 w 1254402"/>
              <a:gd name="connsiteY208" fmla="*/ 69546 h 91439"/>
              <a:gd name="connsiteX209" fmla="*/ 1041901 w 1254402"/>
              <a:gd name="connsiteY209" fmla="*/ 69546 h 91439"/>
              <a:gd name="connsiteX210" fmla="*/ 1041901 w 1254402"/>
              <a:gd name="connsiteY210" fmla="*/ 644 h 91439"/>
              <a:gd name="connsiteX211" fmla="*/ 1056712 w 1254402"/>
              <a:gd name="connsiteY211" fmla="*/ 644 h 91439"/>
              <a:gd name="connsiteX212" fmla="*/ 1067659 w 1254402"/>
              <a:gd name="connsiteY212" fmla="*/ 44432 h 91439"/>
              <a:gd name="connsiteX213" fmla="*/ 1103076 w 1254402"/>
              <a:gd name="connsiteY213" fmla="*/ 18030 h 91439"/>
              <a:gd name="connsiteX214" fmla="*/ 1138493 w 1254402"/>
              <a:gd name="connsiteY214" fmla="*/ 44432 h 91439"/>
              <a:gd name="connsiteX215" fmla="*/ 1103076 w 1254402"/>
              <a:gd name="connsiteY215" fmla="*/ 70834 h 91439"/>
              <a:gd name="connsiteX216" fmla="*/ 1067659 w 1254402"/>
              <a:gd name="connsiteY216" fmla="*/ 44432 h 91439"/>
              <a:gd name="connsiteX217" fmla="*/ 1123038 w 1254402"/>
              <a:gd name="connsiteY217" fmla="*/ 44432 h 91439"/>
              <a:gd name="connsiteX218" fmla="*/ 1102432 w 1254402"/>
              <a:gd name="connsiteY218" fmla="*/ 30265 h 91439"/>
              <a:gd name="connsiteX219" fmla="*/ 1081825 w 1254402"/>
              <a:gd name="connsiteY219" fmla="*/ 44432 h 91439"/>
              <a:gd name="connsiteX220" fmla="*/ 1102432 w 1254402"/>
              <a:gd name="connsiteY220" fmla="*/ 58599 h 91439"/>
              <a:gd name="connsiteX221" fmla="*/ 1123038 w 1254402"/>
              <a:gd name="connsiteY221" fmla="*/ 44432 h 91439"/>
              <a:gd name="connsiteX222" fmla="*/ 1254402 w 1254402"/>
              <a:gd name="connsiteY222" fmla="*/ 19318 h 91439"/>
              <a:gd name="connsiteX223" fmla="*/ 1231864 w 1254402"/>
              <a:gd name="connsiteY223" fmla="*/ 70190 h 91439"/>
              <a:gd name="connsiteX224" fmla="*/ 1211902 w 1254402"/>
              <a:gd name="connsiteY224" fmla="*/ 70190 h 91439"/>
              <a:gd name="connsiteX225" fmla="*/ 1197091 w 1254402"/>
              <a:gd name="connsiteY225" fmla="*/ 34773 h 91439"/>
              <a:gd name="connsiteX226" fmla="*/ 1182281 w 1254402"/>
              <a:gd name="connsiteY226" fmla="*/ 70190 h 91439"/>
              <a:gd name="connsiteX227" fmla="*/ 1162318 w 1254402"/>
              <a:gd name="connsiteY227" fmla="*/ 70190 h 91439"/>
              <a:gd name="connsiteX228" fmla="*/ 1139780 w 1254402"/>
              <a:gd name="connsiteY228" fmla="*/ 19318 h 91439"/>
              <a:gd name="connsiteX229" fmla="*/ 1156523 w 1254402"/>
              <a:gd name="connsiteY229" fmla="*/ 19318 h 91439"/>
              <a:gd name="connsiteX230" fmla="*/ 1173265 w 1254402"/>
              <a:gd name="connsiteY230" fmla="*/ 58599 h 91439"/>
              <a:gd name="connsiteX231" fmla="*/ 1188720 w 1254402"/>
              <a:gd name="connsiteY231" fmla="*/ 19318 h 91439"/>
              <a:gd name="connsiteX232" fmla="*/ 1206107 w 1254402"/>
              <a:gd name="connsiteY232" fmla="*/ 19318 h 91439"/>
              <a:gd name="connsiteX233" fmla="*/ 1221561 w 1254402"/>
              <a:gd name="connsiteY233" fmla="*/ 57955 h 91439"/>
              <a:gd name="connsiteX234" fmla="*/ 1238304 w 1254402"/>
              <a:gd name="connsiteY234" fmla="*/ 18674 h 91439"/>
              <a:gd name="connsiteX235" fmla="*/ 1254402 w 1254402"/>
              <a:gd name="connsiteY235" fmla="*/ 18674 h 914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</a:cxnLst>
            <a:rect l="l" t="t" r="r" b="b"/>
            <a:pathLst>
              <a:path w="1254402" h="91439">
                <a:moveTo>
                  <a:pt x="70834" y="31553"/>
                </a:moveTo>
                <a:cubicBezTo>
                  <a:pt x="70834" y="45076"/>
                  <a:pt x="61175" y="53447"/>
                  <a:pt x="47652" y="53447"/>
                </a:cubicBezTo>
                <a:lnTo>
                  <a:pt x="15455" y="53447"/>
                </a:lnTo>
                <a:lnTo>
                  <a:pt x="15455" y="69546"/>
                </a:lnTo>
                <a:lnTo>
                  <a:pt x="0" y="69546"/>
                </a:lnTo>
                <a:lnTo>
                  <a:pt x="0" y="9015"/>
                </a:lnTo>
                <a:lnTo>
                  <a:pt x="47652" y="9015"/>
                </a:lnTo>
                <a:cubicBezTo>
                  <a:pt x="61175" y="9659"/>
                  <a:pt x="70834" y="18030"/>
                  <a:pt x="70834" y="31553"/>
                </a:cubicBezTo>
                <a:close/>
                <a:moveTo>
                  <a:pt x="55379" y="31553"/>
                </a:moveTo>
                <a:cubicBezTo>
                  <a:pt x="55379" y="22538"/>
                  <a:pt x="48296" y="22538"/>
                  <a:pt x="43788" y="22538"/>
                </a:cubicBezTo>
                <a:lnTo>
                  <a:pt x="16099" y="22538"/>
                </a:lnTo>
                <a:lnTo>
                  <a:pt x="16099" y="40568"/>
                </a:lnTo>
                <a:lnTo>
                  <a:pt x="43144" y="40568"/>
                </a:lnTo>
                <a:cubicBezTo>
                  <a:pt x="48296" y="40568"/>
                  <a:pt x="55379" y="40568"/>
                  <a:pt x="55379" y="31553"/>
                </a:cubicBezTo>
                <a:close/>
                <a:moveTo>
                  <a:pt x="79849" y="44432"/>
                </a:moveTo>
                <a:cubicBezTo>
                  <a:pt x="79849" y="25758"/>
                  <a:pt x="94016" y="18030"/>
                  <a:pt x="115266" y="18030"/>
                </a:cubicBezTo>
                <a:cubicBezTo>
                  <a:pt x="136516" y="18030"/>
                  <a:pt x="150683" y="25758"/>
                  <a:pt x="150683" y="44432"/>
                </a:cubicBezTo>
                <a:cubicBezTo>
                  <a:pt x="150683" y="63106"/>
                  <a:pt x="136516" y="70834"/>
                  <a:pt x="115266" y="70834"/>
                </a:cubicBezTo>
                <a:cubicBezTo>
                  <a:pt x="94016" y="70834"/>
                  <a:pt x="79849" y="63106"/>
                  <a:pt x="79849" y="44432"/>
                </a:cubicBezTo>
                <a:close/>
                <a:moveTo>
                  <a:pt x="135228" y="44432"/>
                </a:moveTo>
                <a:cubicBezTo>
                  <a:pt x="135228" y="34129"/>
                  <a:pt x="128789" y="30265"/>
                  <a:pt x="114622" y="30265"/>
                </a:cubicBezTo>
                <a:cubicBezTo>
                  <a:pt x="101099" y="30265"/>
                  <a:pt x="94016" y="33485"/>
                  <a:pt x="94016" y="44432"/>
                </a:cubicBezTo>
                <a:cubicBezTo>
                  <a:pt x="94016" y="54735"/>
                  <a:pt x="100455" y="58599"/>
                  <a:pt x="114622" y="58599"/>
                </a:cubicBezTo>
                <a:cubicBezTo>
                  <a:pt x="128789" y="58599"/>
                  <a:pt x="135228" y="54735"/>
                  <a:pt x="135228" y="44432"/>
                </a:cubicBezTo>
                <a:close/>
                <a:moveTo>
                  <a:pt x="173221" y="52159"/>
                </a:moveTo>
                <a:cubicBezTo>
                  <a:pt x="173221" y="57311"/>
                  <a:pt x="179016" y="59887"/>
                  <a:pt x="195115" y="59887"/>
                </a:cubicBezTo>
                <a:cubicBezTo>
                  <a:pt x="211214" y="59887"/>
                  <a:pt x="213789" y="58599"/>
                  <a:pt x="213789" y="54735"/>
                </a:cubicBezTo>
                <a:cubicBezTo>
                  <a:pt x="213789" y="50872"/>
                  <a:pt x="211214" y="50872"/>
                  <a:pt x="193827" y="49584"/>
                </a:cubicBezTo>
                <a:cubicBezTo>
                  <a:pt x="171289" y="48296"/>
                  <a:pt x="160342" y="46364"/>
                  <a:pt x="160342" y="34129"/>
                </a:cubicBezTo>
                <a:cubicBezTo>
                  <a:pt x="160342" y="20606"/>
                  <a:pt x="175797" y="18674"/>
                  <a:pt x="193827" y="18674"/>
                </a:cubicBezTo>
                <a:cubicBezTo>
                  <a:pt x="213145" y="18674"/>
                  <a:pt x="226668" y="21250"/>
                  <a:pt x="226668" y="35417"/>
                </a:cubicBezTo>
                <a:lnTo>
                  <a:pt x="211857" y="35417"/>
                </a:lnTo>
                <a:cubicBezTo>
                  <a:pt x="211857" y="30909"/>
                  <a:pt x="206706" y="30265"/>
                  <a:pt x="192539" y="30265"/>
                </a:cubicBezTo>
                <a:cubicBezTo>
                  <a:pt x="178372" y="30265"/>
                  <a:pt x="174509" y="31553"/>
                  <a:pt x="174509" y="34129"/>
                </a:cubicBezTo>
                <a:cubicBezTo>
                  <a:pt x="174509" y="37349"/>
                  <a:pt x="177085" y="37993"/>
                  <a:pt x="194471" y="39281"/>
                </a:cubicBezTo>
                <a:cubicBezTo>
                  <a:pt x="214433" y="40568"/>
                  <a:pt x="227956" y="41212"/>
                  <a:pt x="227956" y="54735"/>
                </a:cubicBezTo>
                <a:cubicBezTo>
                  <a:pt x="227956" y="68902"/>
                  <a:pt x="215077" y="71478"/>
                  <a:pt x="195759" y="71478"/>
                </a:cubicBezTo>
                <a:cubicBezTo>
                  <a:pt x="176441" y="71478"/>
                  <a:pt x="158410" y="68902"/>
                  <a:pt x="158410" y="52803"/>
                </a:cubicBezTo>
                <a:lnTo>
                  <a:pt x="173221" y="52803"/>
                </a:lnTo>
                <a:close/>
                <a:moveTo>
                  <a:pt x="254358" y="644"/>
                </a:moveTo>
                <a:lnTo>
                  <a:pt x="254358" y="13523"/>
                </a:lnTo>
                <a:lnTo>
                  <a:pt x="239547" y="13523"/>
                </a:lnTo>
                <a:lnTo>
                  <a:pt x="239547" y="644"/>
                </a:lnTo>
                <a:lnTo>
                  <a:pt x="254358" y="644"/>
                </a:lnTo>
                <a:close/>
                <a:moveTo>
                  <a:pt x="254358" y="19318"/>
                </a:moveTo>
                <a:lnTo>
                  <a:pt x="254358" y="70190"/>
                </a:lnTo>
                <a:lnTo>
                  <a:pt x="239547" y="70190"/>
                </a:lnTo>
                <a:lnTo>
                  <a:pt x="239547" y="19318"/>
                </a:lnTo>
                <a:lnTo>
                  <a:pt x="254358" y="19318"/>
                </a:lnTo>
                <a:close/>
                <a:moveTo>
                  <a:pt x="292994" y="31553"/>
                </a:moveTo>
                <a:lnTo>
                  <a:pt x="292994" y="46364"/>
                </a:lnTo>
                <a:cubicBezTo>
                  <a:pt x="292994" y="56023"/>
                  <a:pt x="294926" y="58599"/>
                  <a:pt x="303941" y="58599"/>
                </a:cubicBezTo>
                <a:cubicBezTo>
                  <a:pt x="308449" y="58599"/>
                  <a:pt x="311025" y="58599"/>
                  <a:pt x="316820" y="57955"/>
                </a:cubicBezTo>
                <a:lnTo>
                  <a:pt x="316820" y="69546"/>
                </a:lnTo>
                <a:cubicBezTo>
                  <a:pt x="311669" y="70190"/>
                  <a:pt x="306517" y="70834"/>
                  <a:pt x="299434" y="70834"/>
                </a:cubicBezTo>
                <a:cubicBezTo>
                  <a:pt x="286555" y="70834"/>
                  <a:pt x="278184" y="65682"/>
                  <a:pt x="278184" y="54735"/>
                </a:cubicBezTo>
                <a:lnTo>
                  <a:pt x="278184" y="31553"/>
                </a:lnTo>
                <a:lnTo>
                  <a:pt x="264661" y="31553"/>
                </a:lnTo>
                <a:lnTo>
                  <a:pt x="264661" y="19318"/>
                </a:lnTo>
                <a:lnTo>
                  <a:pt x="278184" y="19318"/>
                </a:lnTo>
                <a:lnTo>
                  <a:pt x="278184" y="9015"/>
                </a:lnTo>
                <a:lnTo>
                  <a:pt x="292994" y="4508"/>
                </a:lnTo>
                <a:lnTo>
                  <a:pt x="292994" y="19318"/>
                </a:lnTo>
                <a:lnTo>
                  <a:pt x="316820" y="19318"/>
                </a:lnTo>
                <a:lnTo>
                  <a:pt x="316820" y="31553"/>
                </a:lnTo>
                <a:lnTo>
                  <a:pt x="292994" y="31553"/>
                </a:lnTo>
                <a:close/>
                <a:moveTo>
                  <a:pt x="342578" y="644"/>
                </a:moveTo>
                <a:lnTo>
                  <a:pt x="342578" y="13523"/>
                </a:lnTo>
                <a:lnTo>
                  <a:pt x="327767" y="13523"/>
                </a:lnTo>
                <a:lnTo>
                  <a:pt x="327767" y="644"/>
                </a:lnTo>
                <a:lnTo>
                  <a:pt x="342578" y="644"/>
                </a:lnTo>
                <a:close/>
                <a:moveTo>
                  <a:pt x="342578" y="19318"/>
                </a:moveTo>
                <a:lnTo>
                  <a:pt x="342578" y="70190"/>
                </a:lnTo>
                <a:lnTo>
                  <a:pt x="327767" y="70190"/>
                </a:lnTo>
                <a:lnTo>
                  <a:pt x="327767" y="19318"/>
                </a:lnTo>
                <a:lnTo>
                  <a:pt x="342578" y="19318"/>
                </a:lnTo>
                <a:close/>
                <a:moveTo>
                  <a:pt x="424359" y="19318"/>
                </a:moveTo>
                <a:lnTo>
                  <a:pt x="398601" y="70190"/>
                </a:lnTo>
                <a:lnTo>
                  <a:pt x="377995" y="70190"/>
                </a:lnTo>
                <a:lnTo>
                  <a:pt x="352237" y="19318"/>
                </a:lnTo>
                <a:lnTo>
                  <a:pt x="368336" y="19318"/>
                </a:lnTo>
                <a:lnTo>
                  <a:pt x="388298" y="59887"/>
                </a:lnTo>
                <a:lnTo>
                  <a:pt x="408260" y="19318"/>
                </a:lnTo>
                <a:lnTo>
                  <a:pt x="424359" y="19318"/>
                </a:lnTo>
                <a:close/>
                <a:moveTo>
                  <a:pt x="481670" y="51515"/>
                </a:moveTo>
                <a:lnTo>
                  <a:pt x="496481" y="51515"/>
                </a:lnTo>
                <a:cubicBezTo>
                  <a:pt x="493261" y="64394"/>
                  <a:pt x="480382" y="70834"/>
                  <a:pt x="461708" y="70834"/>
                </a:cubicBezTo>
                <a:cubicBezTo>
                  <a:pt x="442389" y="70834"/>
                  <a:pt x="427579" y="63106"/>
                  <a:pt x="427579" y="44432"/>
                </a:cubicBezTo>
                <a:cubicBezTo>
                  <a:pt x="427579" y="25758"/>
                  <a:pt x="442389" y="18030"/>
                  <a:pt x="462995" y="18030"/>
                </a:cubicBezTo>
                <a:cubicBezTo>
                  <a:pt x="482314" y="18030"/>
                  <a:pt x="497768" y="24470"/>
                  <a:pt x="497768" y="47652"/>
                </a:cubicBezTo>
                <a:lnTo>
                  <a:pt x="442389" y="47652"/>
                </a:lnTo>
                <a:cubicBezTo>
                  <a:pt x="444321" y="56023"/>
                  <a:pt x="452048" y="58599"/>
                  <a:pt x="461708" y="58599"/>
                </a:cubicBezTo>
                <a:cubicBezTo>
                  <a:pt x="471367" y="58599"/>
                  <a:pt x="477806" y="56667"/>
                  <a:pt x="481670" y="51515"/>
                </a:cubicBezTo>
                <a:close/>
                <a:moveTo>
                  <a:pt x="442389" y="38637"/>
                </a:moveTo>
                <a:lnTo>
                  <a:pt x="481026" y="38637"/>
                </a:lnTo>
                <a:cubicBezTo>
                  <a:pt x="478450" y="31553"/>
                  <a:pt x="471367" y="29621"/>
                  <a:pt x="461708" y="29621"/>
                </a:cubicBezTo>
                <a:cubicBezTo>
                  <a:pt x="452048" y="29621"/>
                  <a:pt x="444965" y="31553"/>
                  <a:pt x="442389" y="38637"/>
                </a:cubicBezTo>
                <a:close/>
                <a:moveTo>
                  <a:pt x="622694" y="644"/>
                </a:moveTo>
                <a:lnTo>
                  <a:pt x="622694" y="69546"/>
                </a:lnTo>
                <a:lnTo>
                  <a:pt x="607883" y="69546"/>
                </a:lnTo>
                <a:lnTo>
                  <a:pt x="607883" y="61819"/>
                </a:lnTo>
                <a:cubicBezTo>
                  <a:pt x="602087" y="67614"/>
                  <a:pt x="593716" y="70834"/>
                  <a:pt x="582769" y="70834"/>
                </a:cubicBezTo>
                <a:cubicBezTo>
                  <a:pt x="566670" y="70834"/>
                  <a:pt x="552504" y="63750"/>
                  <a:pt x="552504" y="44432"/>
                </a:cubicBezTo>
                <a:cubicBezTo>
                  <a:pt x="552504" y="25114"/>
                  <a:pt x="566670" y="18030"/>
                  <a:pt x="582769" y="18030"/>
                </a:cubicBezTo>
                <a:cubicBezTo>
                  <a:pt x="593716" y="18030"/>
                  <a:pt x="602731" y="21250"/>
                  <a:pt x="607883" y="27046"/>
                </a:cubicBezTo>
                <a:lnTo>
                  <a:pt x="607883" y="644"/>
                </a:lnTo>
                <a:lnTo>
                  <a:pt x="622694" y="644"/>
                </a:lnTo>
                <a:close/>
                <a:moveTo>
                  <a:pt x="607883" y="44432"/>
                </a:moveTo>
                <a:cubicBezTo>
                  <a:pt x="607883" y="34129"/>
                  <a:pt x="600800" y="30265"/>
                  <a:pt x="587277" y="30265"/>
                </a:cubicBezTo>
                <a:cubicBezTo>
                  <a:pt x="574398" y="30265"/>
                  <a:pt x="566670" y="34129"/>
                  <a:pt x="566670" y="44432"/>
                </a:cubicBezTo>
                <a:cubicBezTo>
                  <a:pt x="566670" y="54735"/>
                  <a:pt x="573754" y="58599"/>
                  <a:pt x="587277" y="58599"/>
                </a:cubicBezTo>
                <a:cubicBezTo>
                  <a:pt x="600800" y="58599"/>
                  <a:pt x="607883" y="54735"/>
                  <a:pt x="607883" y="44432"/>
                </a:cubicBezTo>
                <a:close/>
                <a:moveTo>
                  <a:pt x="649739" y="644"/>
                </a:moveTo>
                <a:lnTo>
                  <a:pt x="649739" y="13523"/>
                </a:lnTo>
                <a:lnTo>
                  <a:pt x="634928" y="13523"/>
                </a:lnTo>
                <a:lnTo>
                  <a:pt x="634928" y="644"/>
                </a:lnTo>
                <a:lnTo>
                  <a:pt x="649739" y="644"/>
                </a:lnTo>
                <a:close/>
                <a:moveTo>
                  <a:pt x="649739" y="19318"/>
                </a:moveTo>
                <a:lnTo>
                  <a:pt x="649739" y="70190"/>
                </a:lnTo>
                <a:lnTo>
                  <a:pt x="634928" y="70190"/>
                </a:lnTo>
                <a:lnTo>
                  <a:pt x="634928" y="19318"/>
                </a:lnTo>
                <a:lnTo>
                  <a:pt x="649739" y="19318"/>
                </a:lnTo>
                <a:close/>
                <a:moveTo>
                  <a:pt x="730876" y="19318"/>
                </a:moveTo>
                <a:lnTo>
                  <a:pt x="730876" y="61819"/>
                </a:lnTo>
                <a:cubicBezTo>
                  <a:pt x="730876" y="82425"/>
                  <a:pt x="716709" y="91440"/>
                  <a:pt x="698035" y="91440"/>
                </a:cubicBezTo>
                <a:cubicBezTo>
                  <a:pt x="683224" y="91440"/>
                  <a:pt x="670989" y="88864"/>
                  <a:pt x="666482" y="87576"/>
                </a:cubicBezTo>
                <a:lnTo>
                  <a:pt x="666482" y="75985"/>
                </a:lnTo>
                <a:cubicBezTo>
                  <a:pt x="672277" y="77273"/>
                  <a:pt x="683868" y="79849"/>
                  <a:pt x="694815" y="79849"/>
                </a:cubicBezTo>
                <a:cubicBezTo>
                  <a:pt x="710270" y="79849"/>
                  <a:pt x="716065" y="74053"/>
                  <a:pt x="716065" y="61175"/>
                </a:cubicBezTo>
                <a:cubicBezTo>
                  <a:pt x="710914" y="66970"/>
                  <a:pt x="702543" y="70190"/>
                  <a:pt x="690308" y="70190"/>
                </a:cubicBezTo>
                <a:cubicBezTo>
                  <a:pt x="672921" y="70190"/>
                  <a:pt x="660686" y="62463"/>
                  <a:pt x="660686" y="44432"/>
                </a:cubicBezTo>
                <a:cubicBezTo>
                  <a:pt x="660686" y="26402"/>
                  <a:pt x="672921" y="18674"/>
                  <a:pt x="690308" y="18674"/>
                </a:cubicBezTo>
                <a:cubicBezTo>
                  <a:pt x="702543" y="18674"/>
                  <a:pt x="710914" y="21894"/>
                  <a:pt x="716065" y="27690"/>
                </a:cubicBezTo>
                <a:lnTo>
                  <a:pt x="716065" y="19318"/>
                </a:lnTo>
                <a:lnTo>
                  <a:pt x="730876" y="19318"/>
                </a:lnTo>
                <a:close/>
                <a:moveTo>
                  <a:pt x="715421" y="43788"/>
                </a:moveTo>
                <a:cubicBezTo>
                  <a:pt x="715421" y="34773"/>
                  <a:pt x="708982" y="30909"/>
                  <a:pt x="694815" y="30909"/>
                </a:cubicBezTo>
                <a:cubicBezTo>
                  <a:pt x="680648" y="30909"/>
                  <a:pt x="674209" y="34773"/>
                  <a:pt x="674209" y="43788"/>
                </a:cubicBezTo>
                <a:cubicBezTo>
                  <a:pt x="674209" y="52803"/>
                  <a:pt x="680648" y="56667"/>
                  <a:pt x="694815" y="56667"/>
                </a:cubicBezTo>
                <a:cubicBezTo>
                  <a:pt x="708982" y="56667"/>
                  <a:pt x="715421" y="52803"/>
                  <a:pt x="715421" y="43788"/>
                </a:cubicBezTo>
                <a:close/>
                <a:moveTo>
                  <a:pt x="757278" y="644"/>
                </a:moveTo>
                <a:lnTo>
                  <a:pt x="757278" y="13523"/>
                </a:lnTo>
                <a:lnTo>
                  <a:pt x="742467" y="13523"/>
                </a:lnTo>
                <a:lnTo>
                  <a:pt x="742467" y="644"/>
                </a:lnTo>
                <a:lnTo>
                  <a:pt x="757278" y="644"/>
                </a:lnTo>
                <a:close/>
                <a:moveTo>
                  <a:pt x="757278" y="19318"/>
                </a:moveTo>
                <a:lnTo>
                  <a:pt x="757278" y="70190"/>
                </a:lnTo>
                <a:lnTo>
                  <a:pt x="742467" y="70190"/>
                </a:lnTo>
                <a:lnTo>
                  <a:pt x="742467" y="19318"/>
                </a:lnTo>
                <a:lnTo>
                  <a:pt x="757278" y="19318"/>
                </a:lnTo>
                <a:close/>
                <a:moveTo>
                  <a:pt x="795914" y="31553"/>
                </a:moveTo>
                <a:lnTo>
                  <a:pt x="795914" y="46364"/>
                </a:lnTo>
                <a:cubicBezTo>
                  <a:pt x="795914" y="56023"/>
                  <a:pt x="797846" y="58599"/>
                  <a:pt x="806861" y="58599"/>
                </a:cubicBezTo>
                <a:cubicBezTo>
                  <a:pt x="811369" y="58599"/>
                  <a:pt x="813945" y="58599"/>
                  <a:pt x="819740" y="57955"/>
                </a:cubicBezTo>
                <a:lnTo>
                  <a:pt x="819740" y="69546"/>
                </a:lnTo>
                <a:cubicBezTo>
                  <a:pt x="814589" y="70190"/>
                  <a:pt x="809437" y="70834"/>
                  <a:pt x="802354" y="70834"/>
                </a:cubicBezTo>
                <a:cubicBezTo>
                  <a:pt x="789475" y="70834"/>
                  <a:pt x="781104" y="65682"/>
                  <a:pt x="781104" y="54735"/>
                </a:cubicBezTo>
                <a:lnTo>
                  <a:pt x="781104" y="31553"/>
                </a:lnTo>
                <a:lnTo>
                  <a:pt x="767581" y="31553"/>
                </a:lnTo>
                <a:lnTo>
                  <a:pt x="767581" y="19318"/>
                </a:lnTo>
                <a:lnTo>
                  <a:pt x="781104" y="19318"/>
                </a:lnTo>
                <a:lnTo>
                  <a:pt x="781104" y="9015"/>
                </a:lnTo>
                <a:lnTo>
                  <a:pt x="795914" y="4508"/>
                </a:lnTo>
                <a:lnTo>
                  <a:pt x="795914" y="19318"/>
                </a:lnTo>
                <a:lnTo>
                  <a:pt x="819740" y="19318"/>
                </a:lnTo>
                <a:lnTo>
                  <a:pt x="819740" y="31553"/>
                </a:lnTo>
                <a:lnTo>
                  <a:pt x="795914" y="31553"/>
                </a:lnTo>
                <a:close/>
                <a:moveTo>
                  <a:pt x="898301" y="44432"/>
                </a:moveTo>
                <a:lnTo>
                  <a:pt x="898301" y="70190"/>
                </a:lnTo>
                <a:lnTo>
                  <a:pt x="883491" y="70190"/>
                </a:lnTo>
                <a:lnTo>
                  <a:pt x="883491" y="63750"/>
                </a:lnTo>
                <a:cubicBezTo>
                  <a:pt x="874476" y="68258"/>
                  <a:pt x="864816" y="70834"/>
                  <a:pt x="852581" y="70834"/>
                </a:cubicBezTo>
                <a:cubicBezTo>
                  <a:pt x="838415" y="70834"/>
                  <a:pt x="829400" y="66326"/>
                  <a:pt x="829400" y="54735"/>
                </a:cubicBezTo>
                <a:cubicBezTo>
                  <a:pt x="829400" y="41856"/>
                  <a:pt x="843566" y="37349"/>
                  <a:pt x="860309" y="37349"/>
                </a:cubicBezTo>
                <a:cubicBezTo>
                  <a:pt x="869324" y="37349"/>
                  <a:pt x="877051" y="38637"/>
                  <a:pt x="883491" y="41212"/>
                </a:cubicBezTo>
                <a:cubicBezTo>
                  <a:pt x="883491" y="31553"/>
                  <a:pt x="871256" y="30909"/>
                  <a:pt x="864172" y="30909"/>
                </a:cubicBezTo>
                <a:cubicBezTo>
                  <a:pt x="857733" y="30909"/>
                  <a:pt x="849362" y="31553"/>
                  <a:pt x="839059" y="34773"/>
                </a:cubicBezTo>
                <a:lnTo>
                  <a:pt x="833907" y="23826"/>
                </a:lnTo>
                <a:cubicBezTo>
                  <a:pt x="844210" y="20606"/>
                  <a:pt x="854513" y="18674"/>
                  <a:pt x="864816" y="18674"/>
                </a:cubicBezTo>
                <a:cubicBezTo>
                  <a:pt x="886066" y="18030"/>
                  <a:pt x="898301" y="25114"/>
                  <a:pt x="898301" y="44432"/>
                </a:cubicBezTo>
                <a:close/>
                <a:moveTo>
                  <a:pt x="883491" y="50228"/>
                </a:moveTo>
                <a:cubicBezTo>
                  <a:pt x="878339" y="48296"/>
                  <a:pt x="871256" y="47008"/>
                  <a:pt x="862241" y="47008"/>
                </a:cubicBezTo>
                <a:cubicBezTo>
                  <a:pt x="851294" y="47008"/>
                  <a:pt x="844854" y="48940"/>
                  <a:pt x="844854" y="54091"/>
                </a:cubicBezTo>
                <a:cubicBezTo>
                  <a:pt x="844854" y="59243"/>
                  <a:pt x="850006" y="59887"/>
                  <a:pt x="857733" y="59887"/>
                </a:cubicBezTo>
                <a:cubicBezTo>
                  <a:pt x="865460" y="59887"/>
                  <a:pt x="877051" y="57311"/>
                  <a:pt x="884135" y="54091"/>
                </a:cubicBezTo>
                <a:lnTo>
                  <a:pt x="884135" y="50228"/>
                </a:lnTo>
                <a:close/>
                <a:moveTo>
                  <a:pt x="925347" y="644"/>
                </a:moveTo>
                <a:lnTo>
                  <a:pt x="925347" y="69546"/>
                </a:lnTo>
                <a:lnTo>
                  <a:pt x="910536" y="69546"/>
                </a:lnTo>
                <a:lnTo>
                  <a:pt x="910536" y="644"/>
                </a:lnTo>
                <a:lnTo>
                  <a:pt x="925347" y="644"/>
                </a:lnTo>
                <a:close/>
                <a:moveTo>
                  <a:pt x="1009704" y="19318"/>
                </a:moveTo>
                <a:lnTo>
                  <a:pt x="1030954" y="19318"/>
                </a:lnTo>
                <a:lnTo>
                  <a:pt x="1030954" y="31553"/>
                </a:lnTo>
                <a:lnTo>
                  <a:pt x="1009704" y="31553"/>
                </a:lnTo>
                <a:lnTo>
                  <a:pt x="1009704" y="70190"/>
                </a:lnTo>
                <a:lnTo>
                  <a:pt x="994893" y="70190"/>
                </a:lnTo>
                <a:lnTo>
                  <a:pt x="994893" y="31553"/>
                </a:lnTo>
                <a:lnTo>
                  <a:pt x="981370" y="31553"/>
                </a:lnTo>
                <a:lnTo>
                  <a:pt x="981370" y="19318"/>
                </a:lnTo>
                <a:lnTo>
                  <a:pt x="994893" y="19318"/>
                </a:lnTo>
                <a:lnTo>
                  <a:pt x="994893" y="15455"/>
                </a:lnTo>
                <a:cubicBezTo>
                  <a:pt x="994893" y="5152"/>
                  <a:pt x="1001332" y="0"/>
                  <a:pt x="1016143" y="0"/>
                </a:cubicBezTo>
                <a:cubicBezTo>
                  <a:pt x="1021295" y="0"/>
                  <a:pt x="1023870" y="0"/>
                  <a:pt x="1031598" y="644"/>
                </a:cubicBezTo>
                <a:lnTo>
                  <a:pt x="1031598" y="10947"/>
                </a:lnTo>
                <a:cubicBezTo>
                  <a:pt x="1028378" y="10947"/>
                  <a:pt x="1024514" y="10303"/>
                  <a:pt x="1021295" y="10303"/>
                </a:cubicBezTo>
                <a:cubicBezTo>
                  <a:pt x="1012279" y="10947"/>
                  <a:pt x="1009704" y="12879"/>
                  <a:pt x="1009704" y="19318"/>
                </a:cubicBezTo>
                <a:close/>
                <a:moveTo>
                  <a:pt x="1056712" y="644"/>
                </a:moveTo>
                <a:lnTo>
                  <a:pt x="1056712" y="69546"/>
                </a:lnTo>
                <a:lnTo>
                  <a:pt x="1041901" y="69546"/>
                </a:lnTo>
                <a:lnTo>
                  <a:pt x="1041901" y="644"/>
                </a:lnTo>
                <a:lnTo>
                  <a:pt x="1056712" y="644"/>
                </a:lnTo>
                <a:close/>
                <a:moveTo>
                  <a:pt x="1067659" y="44432"/>
                </a:moveTo>
                <a:cubicBezTo>
                  <a:pt x="1067659" y="25758"/>
                  <a:pt x="1081825" y="18030"/>
                  <a:pt x="1103076" y="18030"/>
                </a:cubicBezTo>
                <a:cubicBezTo>
                  <a:pt x="1124326" y="18030"/>
                  <a:pt x="1138493" y="25758"/>
                  <a:pt x="1138493" y="44432"/>
                </a:cubicBezTo>
                <a:cubicBezTo>
                  <a:pt x="1138493" y="63106"/>
                  <a:pt x="1124326" y="70834"/>
                  <a:pt x="1103076" y="70834"/>
                </a:cubicBezTo>
                <a:cubicBezTo>
                  <a:pt x="1081825" y="70834"/>
                  <a:pt x="1067659" y="63106"/>
                  <a:pt x="1067659" y="44432"/>
                </a:cubicBezTo>
                <a:close/>
                <a:moveTo>
                  <a:pt x="1123038" y="44432"/>
                </a:moveTo>
                <a:cubicBezTo>
                  <a:pt x="1123038" y="34129"/>
                  <a:pt x="1116598" y="30265"/>
                  <a:pt x="1102432" y="30265"/>
                </a:cubicBezTo>
                <a:cubicBezTo>
                  <a:pt x="1088909" y="30265"/>
                  <a:pt x="1081825" y="33485"/>
                  <a:pt x="1081825" y="44432"/>
                </a:cubicBezTo>
                <a:cubicBezTo>
                  <a:pt x="1081825" y="54735"/>
                  <a:pt x="1088265" y="58599"/>
                  <a:pt x="1102432" y="58599"/>
                </a:cubicBezTo>
                <a:cubicBezTo>
                  <a:pt x="1115954" y="58599"/>
                  <a:pt x="1123038" y="54735"/>
                  <a:pt x="1123038" y="44432"/>
                </a:cubicBezTo>
                <a:close/>
                <a:moveTo>
                  <a:pt x="1254402" y="19318"/>
                </a:moveTo>
                <a:lnTo>
                  <a:pt x="1231864" y="70190"/>
                </a:lnTo>
                <a:lnTo>
                  <a:pt x="1211902" y="70190"/>
                </a:lnTo>
                <a:lnTo>
                  <a:pt x="1197091" y="34773"/>
                </a:lnTo>
                <a:lnTo>
                  <a:pt x="1182281" y="70190"/>
                </a:lnTo>
                <a:lnTo>
                  <a:pt x="1162318" y="70190"/>
                </a:lnTo>
                <a:lnTo>
                  <a:pt x="1139780" y="19318"/>
                </a:lnTo>
                <a:lnTo>
                  <a:pt x="1156523" y="19318"/>
                </a:lnTo>
                <a:lnTo>
                  <a:pt x="1173265" y="58599"/>
                </a:lnTo>
                <a:lnTo>
                  <a:pt x="1188720" y="19318"/>
                </a:lnTo>
                <a:lnTo>
                  <a:pt x="1206107" y="19318"/>
                </a:lnTo>
                <a:lnTo>
                  <a:pt x="1221561" y="57955"/>
                </a:lnTo>
                <a:lnTo>
                  <a:pt x="1238304" y="18674"/>
                </a:lnTo>
                <a:lnTo>
                  <a:pt x="1254402" y="18674"/>
                </a:lnTo>
                <a:close/>
              </a:path>
            </a:pathLst>
          </a:custGeom>
          <a:solidFill>
            <a:srgbClr val="00AA9B"/>
          </a:solidFill>
          <a:ln w="6439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grpSp>
        <xdr:nvGrpSpPr>
          <xdr:cNvPr id="4" name="Graphique 9">
            <a:extLst>
              <a:ext uri="{FF2B5EF4-FFF2-40B4-BE49-F238E27FC236}">
                <a16:creationId xmlns:a16="http://schemas.microsoft.com/office/drawing/2014/main" id="{C3053907-0BDC-D692-5B30-567EECFBBAE4}"/>
              </a:ext>
            </a:extLst>
          </xdr:cNvPr>
          <xdr:cNvGrpSpPr/>
        </xdr:nvGrpSpPr>
        <xdr:grpSpPr>
          <a:xfrm>
            <a:off x="13512800" y="647260"/>
            <a:ext cx="1824935" cy="273031"/>
            <a:chOff x="13512800" y="647260"/>
            <a:chExt cx="1824935" cy="273031"/>
          </a:xfrm>
        </xdr:grpSpPr>
        <xdr:sp macro="" textlink="">
          <xdr:nvSpPr>
            <xdr:cNvPr id="5" name="Forme libre : forme 19">
              <a:extLst>
                <a:ext uri="{FF2B5EF4-FFF2-40B4-BE49-F238E27FC236}">
                  <a16:creationId xmlns:a16="http://schemas.microsoft.com/office/drawing/2014/main" id="{DCADD2E4-CA6B-A645-E0AA-0EAE1A0E7F03}"/>
                </a:ext>
              </a:extLst>
            </xdr:cNvPr>
            <xdr:cNvSpPr/>
          </xdr:nvSpPr>
          <xdr:spPr>
            <a:xfrm>
              <a:off x="13512800" y="647260"/>
              <a:ext cx="1533229" cy="273031"/>
            </a:xfrm>
            <a:custGeom>
              <a:avLst/>
              <a:gdLst>
                <a:gd name="connsiteX0" fmla="*/ 358677 w 1533229"/>
                <a:gd name="connsiteY0" fmla="*/ 169357 h 273031"/>
                <a:gd name="connsiteX1" fmla="*/ 358677 w 1533229"/>
                <a:gd name="connsiteY1" fmla="*/ 269168 h 273031"/>
                <a:gd name="connsiteX2" fmla="*/ 285267 w 1533229"/>
                <a:gd name="connsiteY2" fmla="*/ 269168 h 273031"/>
                <a:gd name="connsiteX3" fmla="*/ 285267 w 1533229"/>
                <a:gd name="connsiteY3" fmla="*/ 198978 h 273031"/>
                <a:gd name="connsiteX4" fmla="*/ 242123 w 1533229"/>
                <a:gd name="connsiteY4" fmla="*/ 154546 h 273031"/>
                <a:gd name="connsiteX5" fmla="*/ 183524 w 1533229"/>
                <a:gd name="connsiteY5" fmla="*/ 177728 h 273031"/>
                <a:gd name="connsiteX6" fmla="*/ 183524 w 1533229"/>
                <a:gd name="connsiteY6" fmla="*/ 269812 h 273031"/>
                <a:gd name="connsiteX7" fmla="*/ 110758 w 1533229"/>
                <a:gd name="connsiteY7" fmla="*/ 269812 h 273031"/>
                <a:gd name="connsiteX8" fmla="*/ 110758 w 1533229"/>
                <a:gd name="connsiteY8" fmla="*/ 92084 h 273031"/>
                <a:gd name="connsiteX9" fmla="*/ 183524 w 1533229"/>
                <a:gd name="connsiteY9" fmla="*/ 92084 h 273031"/>
                <a:gd name="connsiteX10" fmla="*/ 183524 w 1533229"/>
                <a:gd name="connsiteY10" fmla="*/ 117842 h 273031"/>
                <a:gd name="connsiteX11" fmla="*/ 271744 w 1533229"/>
                <a:gd name="connsiteY11" fmla="*/ 90152 h 273031"/>
                <a:gd name="connsiteX12" fmla="*/ 358677 w 1533229"/>
                <a:gd name="connsiteY12" fmla="*/ 169357 h 273031"/>
                <a:gd name="connsiteX13" fmla="*/ 765005 w 1533229"/>
                <a:gd name="connsiteY13" fmla="*/ 36705 h 273031"/>
                <a:gd name="connsiteX14" fmla="*/ 692239 w 1533229"/>
                <a:gd name="connsiteY14" fmla="*/ 36705 h 273031"/>
                <a:gd name="connsiteX15" fmla="*/ 692239 w 1533229"/>
                <a:gd name="connsiteY15" fmla="*/ 92084 h 273031"/>
                <a:gd name="connsiteX16" fmla="*/ 652959 w 1533229"/>
                <a:gd name="connsiteY16" fmla="*/ 92084 h 273031"/>
                <a:gd name="connsiteX17" fmla="*/ 652959 w 1533229"/>
                <a:gd name="connsiteY17" fmla="*/ 151327 h 273031"/>
                <a:gd name="connsiteX18" fmla="*/ 692239 w 1533229"/>
                <a:gd name="connsiteY18" fmla="*/ 151327 h 273031"/>
                <a:gd name="connsiteX19" fmla="*/ 692239 w 1533229"/>
                <a:gd name="connsiteY19" fmla="*/ 269168 h 273031"/>
                <a:gd name="connsiteX20" fmla="*/ 838415 w 1533229"/>
                <a:gd name="connsiteY20" fmla="*/ 269168 h 273031"/>
                <a:gd name="connsiteX21" fmla="*/ 838415 w 1533229"/>
                <a:gd name="connsiteY21" fmla="*/ 209926 h 273031"/>
                <a:gd name="connsiteX22" fmla="*/ 765649 w 1533229"/>
                <a:gd name="connsiteY22" fmla="*/ 209926 h 273031"/>
                <a:gd name="connsiteX23" fmla="*/ 765649 w 1533229"/>
                <a:gd name="connsiteY23" fmla="*/ 151327 h 273031"/>
                <a:gd name="connsiteX24" fmla="*/ 838415 w 1533229"/>
                <a:gd name="connsiteY24" fmla="*/ 151327 h 273031"/>
                <a:gd name="connsiteX25" fmla="*/ 838415 w 1533229"/>
                <a:gd name="connsiteY25" fmla="*/ 92084 h 273031"/>
                <a:gd name="connsiteX26" fmla="*/ 765649 w 1533229"/>
                <a:gd name="connsiteY26" fmla="*/ 92084 h 273031"/>
                <a:gd name="connsiteX27" fmla="*/ 765649 w 1533229"/>
                <a:gd name="connsiteY27" fmla="*/ 36705 h 273031"/>
                <a:gd name="connsiteX28" fmla="*/ 632997 w 1533229"/>
                <a:gd name="connsiteY28" fmla="*/ 192539 h 273031"/>
                <a:gd name="connsiteX29" fmla="*/ 462352 w 1533229"/>
                <a:gd name="connsiteY29" fmla="*/ 192539 h 273031"/>
                <a:gd name="connsiteX30" fmla="*/ 508072 w 1533229"/>
                <a:gd name="connsiteY30" fmla="*/ 216365 h 273031"/>
                <a:gd name="connsiteX31" fmla="*/ 548640 w 1533229"/>
                <a:gd name="connsiteY31" fmla="*/ 209926 h 273031"/>
                <a:gd name="connsiteX32" fmla="*/ 627845 w 1533229"/>
                <a:gd name="connsiteY32" fmla="*/ 209926 h 273031"/>
                <a:gd name="connsiteX33" fmla="*/ 508072 w 1533229"/>
                <a:gd name="connsiteY33" fmla="*/ 273032 h 273031"/>
                <a:gd name="connsiteX34" fmla="*/ 388942 w 1533229"/>
                <a:gd name="connsiteY34" fmla="*/ 180304 h 273031"/>
                <a:gd name="connsiteX35" fmla="*/ 511291 w 1533229"/>
                <a:gd name="connsiteY35" fmla="*/ 87576 h 273031"/>
                <a:gd name="connsiteX36" fmla="*/ 632997 w 1533229"/>
                <a:gd name="connsiteY36" fmla="*/ 192539 h 273031"/>
                <a:gd name="connsiteX37" fmla="*/ 556367 w 1533229"/>
                <a:gd name="connsiteY37" fmla="*/ 152615 h 273031"/>
                <a:gd name="connsiteX38" fmla="*/ 510647 w 1533229"/>
                <a:gd name="connsiteY38" fmla="*/ 135228 h 273031"/>
                <a:gd name="connsiteX39" fmla="*/ 465571 w 1533229"/>
                <a:gd name="connsiteY39" fmla="*/ 152615 h 273031"/>
                <a:gd name="connsiteX40" fmla="*/ 556367 w 1533229"/>
                <a:gd name="connsiteY40" fmla="*/ 152615 h 273031"/>
                <a:gd name="connsiteX41" fmla="*/ 1041901 w 1533229"/>
                <a:gd name="connsiteY41" fmla="*/ 186744 h 273031"/>
                <a:gd name="connsiteX42" fmla="*/ 985878 w 1533229"/>
                <a:gd name="connsiteY42" fmla="*/ 208638 h 273031"/>
                <a:gd name="connsiteX43" fmla="*/ 943377 w 1533229"/>
                <a:gd name="connsiteY43" fmla="*/ 165493 h 273031"/>
                <a:gd name="connsiteX44" fmla="*/ 943377 w 1533229"/>
                <a:gd name="connsiteY44" fmla="*/ 92084 h 273031"/>
                <a:gd name="connsiteX45" fmla="*/ 870612 w 1533229"/>
                <a:gd name="connsiteY45" fmla="*/ 92084 h 273031"/>
                <a:gd name="connsiteX46" fmla="*/ 870612 w 1533229"/>
                <a:gd name="connsiteY46" fmla="*/ 194471 h 273031"/>
                <a:gd name="connsiteX47" fmla="*/ 957544 w 1533229"/>
                <a:gd name="connsiteY47" fmla="*/ 269812 h 273031"/>
                <a:gd name="connsiteX48" fmla="*/ 1041901 w 1533229"/>
                <a:gd name="connsiteY48" fmla="*/ 243411 h 273031"/>
                <a:gd name="connsiteX49" fmla="*/ 1041901 w 1533229"/>
                <a:gd name="connsiteY49" fmla="*/ 268524 h 273031"/>
                <a:gd name="connsiteX50" fmla="*/ 1114667 w 1533229"/>
                <a:gd name="connsiteY50" fmla="*/ 268524 h 273031"/>
                <a:gd name="connsiteX51" fmla="*/ 1114667 w 1533229"/>
                <a:gd name="connsiteY51" fmla="*/ 91440 h 273031"/>
                <a:gd name="connsiteX52" fmla="*/ 1041901 w 1533229"/>
                <a:gd name="connsiteY52" fmla="*/ 91440 h 273031"/>
                <a:gd name="connsiteX53" fmla="*/ 1041901 w 1533229"/>
                <a:gd name="connsiteY53" fmla="*/ 186744 h 273031"/>
                <a:gd name="connsiteX54" fmla="*/ 1457888 w 1533229"/>
                <a:gd name="connsiteY54" fmla="*/ 89508 h 273031"/>
                <a:gd name="connsiteX55" fmla="*/ 1371600 w 1533229"/>
                <a:gd name="connsiteY55" fmla="*/ 123637 h 273031"/>
                <a:gd name="connsiteX56" fmla="*/ 1305274 w 1533229"/>
                <a:gd name="connsiteY56" fmla="*/ 89508 h 273031"/>
                <a:gd name="connsiteX57" fmla="*/ 1225425 w 1533229"/>
                <a:gd name="connsiteY57" fmla="*/ 121705 h 273031"/>
                <a:gd name="connsiteX58" fmla="*/ 1225425 w 1533229"/>
                <a:gd name="connsiteY58" fmla="*/ 92084 h 273031"/>
                <a:gd name="connsiteX59" fmla="*/ 1152659 w 1533229"/>
                <a:gd name="connsiteY59" fmla="*/ 92084 h 273031"/>
                <a:gd name="connsiteX60" fmla="*/ 1152659 w 1533229"/>
                <a:gd name="connsiteY60" fmla="*/ 269168 h 273031"/>
                <a:gd name="connsiteX61" fmla="*/ 1225425 w 1533229"/>
                <a:gd name="connsiteY61" fmla="*/ 269168 h 273031"/>
                <a:gd name="connsiteX62" fmla="*/ 1225425 w 1533229"/>
                <a:gd name="connsiteY62" fmla="*/ 173865 h 273031"/>
                <a:gd name="connsiteX63" fmla="*/ 1273721 w 1533229"/>
                <a:gd name="connsiteY63" fmla="*/ 151327 h 273031"/>
                <a:gd name="connsiteX64" fmla="*/ 1307850 w 1533229"/>
                <a:gd name="connsiteY64" fmla="*/ 194471 h 273031"/>
                <a:gd name="connsiteX65" fmla="*/ 1307850 w 1533229"/>
                <a:gd name="connsiteY65" fmla="*/ 269168 h 273031"/>
                <a:gd name="connsiteX66" fmla="*/ 1380615 w 1533229"/>
                <a:gd name="connsiteY66" fmla="*/ 269168 h 273031"/>
                <a:gd name="connsiteX67" fmla="*/ 1380615 w 1533229"/>
                <a:gd name="connsiteY67" fmla="*/ 171933 h 273031"/>
                <a:gd name="connsiteX68" fmla="*/ 1426335 w 1533229"/>
                <a:gd name="connsiteY68" fmla="*/ 151327 h 273031"/>
                <a:gd name="connsiteX69" fmla="*/ 1460464 w 1533229"/>
                <a:gd name="connsiteY69" fmla="*/ 194471 h 273031"/>
                <a:gd name="connsiteX70" fmla="*/ 1460464 w 1533229"/>
                <a:gd name="connsiteY70" fmla="*/ 269168 h 273031"/>
                <a:gd name="connsiteX71" fmla="*/ 1533230 w 1533229"/>
                <a:gd name="connsiteY71" fmla="*/ 269168 h 273031"/>
                <a:gd name="connsiteX72" fmla="*/ 1533230 w 1533229"/>
                <a:gd name="connsiteY72" fmla="*/ 162918 h 273031"/>
                <a:gd name="connsiteX73" fmla="*/ 1457888 w 1533229"/>
                <a:gd name="connsiteY73" fmla="*/ 89508 h 273031"/>
                <a:gd name="connsiteX74" fmla="*/ 0 w 1533229"/>
                <a:gd name="connsiteY74" fmla="*/ 92084 h 273031"/>
                <a:gd name="connsiteX75" fmla="*/ 0 w 1533229"/>
                <a:gd name="connsiteY75" fmla="*/ 269168 h 273031"/>
                <a:gd name="connsiteX76" fmla="*/ 72766 w 1533229"/>
                <a:gd name="connsiteY76" fmla="*/ 269168 h 273031"/>
                <a:gd name="connsiteX77" fmla="*/ 72766 w 1533229"/>
                <a:gd name="connsiteY77" fmla="*/ 92084 h 273031"/>
                <a:gd name="connsiteX78" fmla="*/ 0 w 1533229"/>
                <a:gd name="connsiteY78" fmla="*/ 92084 h 273031"/>
                <a:gd name="connsiteX79" fmla="*/ 72766 w 1533229"/>
                <a:gd name="connsiteY79" fmla="*/ 0 h 273031"/>
                <a:gd name="connsiteX80" fmla="*/ 0 w 1533229"/>
                <a:gd name="connsiteY80" fmla="*/ 0 h 273031"/>
                <a:gd name="connsiteX81" fmla="*/ 0 w 1533229"/>
                <a:gd name="connsiteY81" fmla="*/ 72766 h 273031"/>
                <a:gd name="connsiteX82" fmla="*/ 72766 w 1533229"/>
                <a:gd name="connsiteY82" fmla="*/ 72766 h 273031"/>
                <a:gd name="connsiteX83" fmla="*/ 72766 w 1533229"/>
                <a:gd name="connsiteY83" fmla="*/ 0 h 2730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  <a:cxn ang="0">
                  <a:pos x="connsiteX66" y="connsiteY66"/>
                </a:cxn>
                <a:cxn ang="0">
                  <a:pos x="connsiteX67" y="connsiteY67"/>
                </a:cxn>
                <a:cxn ang="0">
                  <a:pos x="connsiteX68" y="connsiteY68"/>
                </a:cxn>
                <a:cxn ang="0">
                  <a:pos x="connsiteX69" y="connsiteY69"/>
                </a:cxn>
                <a:cxn ang="0">
                  <a:pos x="connsiteX70" y="connsiteY70"/>
                </a:cxn>
                <a:cxn ang="0">
                  <a:pos x="connsiteX71" y="connsiteY71"/>
                </a:cxn>
                <a:cxn ang="0">
                  <a:pos x="connsiteX72" y="connsiteY72"/>
                </a:cxn>
                <a:cxn ang="0">
                  <a:pos x="connsiteX73" y="connsiteY73"/>
                </a:cxn>
                <a:cxn ang="0">
                  <a:pos x="connsiteX74" y="connsiteY74"/>
                </a:cxn>
                <a:cxn ang="0">
                  <a:pos x="connsiteX75" y="connsiteY75"/>
                </a:cxn>
                <a:cxn ang="0">
                  <a:pos x="connsiteX76" y="connsiteY76"/>
                </a:cxn>
                <a:cxn ang="0">
                  <a:pos x="connsiteX77" y="connsiteY77"/>
                </a:cxn>
                <a:cxn ang="0">
                  <a:pos x="connsiteX78" y="connsiteY78"/>
                </a:cxn>
                <a:cxn ang="0">
                  <a:pos x="connsiteX79" y="connsiteY79"/>
                </a:cxn>
                <a:cxn ang="0">
                  <a:pos x="connsiteX80" y="connsiteY80"/>
                </a:cxn>
                <a:cxn ang="0">
                  <a:pos x="connsiteX81" y="connsiteY81"/>
                </a:cxn>
                <a:cxn ang="0">
                  <a:pos x="connsiteX82" y="connsiteY82"/>
                </a:cxn>
                <a:cxn ang="0">
                  <a:pos x="connsiteX83" y="connsiteY83"/>
                </a:cxn>
              </a:cxnLst>
              <a:rect l="l" t="t" r="r" b="b"/>
              <a:pathLst>
                <a:path w="1533229" h="273031">
                  <a:moveTo>
                    <a:pt x="358677" y="169357"/>
                  </a:moveTo>
                  <a:lnTo>
                    <a:pt x="358677" y="269168"/>
                  </a:lnTo>
                  <a:lnTo>
                    <a:pt x="285267" y="269168"/>
                  </a:lnTo>
                  <a:lnTo>
                    <a:pt x="285267" y="198978"/>
                  </a:lnTo>
                  <a:cubicBezTo>
                    <a:pt x="285267" y="167425"/>
                    <a:pt x="274964" y="154546"/>
                    <a:pt x="242123" y="154546"/>
                  </a:cubicBezTo>
                  <a:cubicBezTo>
                    <a:pt x="220229" y="154546"/>
                    <a:pt x="197691" y="164206"/>
                    <a:pt x="183524" y="177728"/>
                  </a:cubicBezTo>
                  <a:lnTo>
                    <a:pt x="183524" y="269812"/>
                  </a:lnTo>
                  <a:lnTo>
                    <a:pt x="110758" y="269812"/>
                  </a:lnTo>
                  <a:lnTo>
                    <a:pt x="110758" y="92084"/>
                  </a:lnTo>
                  <a:lnTo>
                    <a:pt x="183524" y="92084"/>
                  </a:lnTo>
                  <a:lnTo>
                    <a:pt x="183524" y="117842"/>
                  </a:lnTo>
                  <a:cubicBezTo>
                    <a:pt x="205418" y="102387"/>
                    <a:pt x="233108" y="90152"/>
                    <a:pt x="271744" y="90152"/>
                  </a:cubicBezTo>
                  <a:cubicBezTo>
                    <a:pt x="312957" y="90152"/>
                    <a:pt x="358677" y="103675"/>
                    <a:pt x="358677" y="169357"/>
                  </a:cubicBezTo>
                  <a:close/>
                  <a:moveTo>
                    <a:pt x="765005" y="36705"/>
                  </a:moveTo>
                  <a:lnTo>
                    <a:pt x="692239" y="36705"/>
                  </a:lnTo>
                  <a:lnTo>
                    <a:pt x="692239" y="92084"/>
                  </a:lnTo>
                  <a:lnTo>
                    <a:pt x="652959" y="92084"/>
                  </a:lnTo>
                  <a:lnTo>
                    <a:pt x="652959" y="151327"/>
                  </a:lnTo>
                  <a:lnTo>
                    <a:pt x="692239" y="151327"/>
                  </a:lnTo>
                  <a:lnTo>
                    <a:pt x="692239" y="269168"/>
                  </a:lnTo>
                  <a:lnTo>
                    <a:pt x="838415" y="269168"/>
                  </a:lnTo>
                  <a:lnTo>
                    <a:pt x="838415" y="209926"/>
                  </a:lnTo>
                  <a:lnTo>
                    <a:pt x="765649" y="209926"/>
                  </a:lnTo>
                  <a:lnTo>
                    <a:pt x="765649" y="151327"/>
                  </a:lnTo>
                  <a:lnTo>
                    <a:pt x="838415" y="151327"/>
                  </a:lnTo>
                  <a:lnTo>
                    <a:pt x="838415" y="92084"/>
                  </a:lnTo>
                  <a:lnTo>
                    <a:pt x="765649" y="92084"/>
                  </a:lnTo>
                  <a:lnTo>
                    <a:pt x="765649" y="36705"/>
                  </a:lnTo>
                  <a:close/>
                  <a:moveTo>
                    <a:pt x="632997" y="192539"/>
                  </a:moveTo>
                  <a:lnTo>
                    <a:pt x="462352" y="192539"/>
                  </a:lnTo>
                  <a:cubicBezTo>
                    <a:pt x="468147" y="211857"/>
                    <a:pt x="488109" y="216365"/>
                    <a:pt x="508072" y="216365"/>
                  </a:cubicBezTo>
                  <a:cubicBezTo>
                    <a:pt x="527390" y="216365"/>
                    <a:pt x="538337" y="215077"/>
                    <a:pt x="548640" y="209926"/>
                  </a:cubicBezTo>
                  <a:lnTo>
                    <a:pt x="627845" y="209926"/>
                  </a:lnTo>
                  <a:cubicBezTo>
                    <a:pt x="616254" y="252426"/>
                    <a:pt x="577617" y="273032"/>
                    <a:pt x="508072" y="273032"/>
                  </a:cubicBezTo>
                  <a:cubicBezTo>
                    <a:pt x="437882" y="273032"/>
                    <a:pt x="388942" y="246630"/>
                    <a:pt x="388942" y="180304"/>
                  </a:cubicBezTo>
                  <a:cubicBezTo>
                    <a:pt x="388942" y="113978"/>
                    <a:pt x="437882" y="87576"/>
                    <a:pt x="511291" y="87576"/>
                  </a:cubicBezTo>
                  <a:cubicBezTo>
                    <a:pt x="585345" y="87576"/>
                    <a:pt x="632997" y="113978"/>
                    <a:pt x="632997" y="192539"/>
                  </a:cubicBezTo>
                  <a:close/>
                  <a:moveTo>
                    <a:pt x="556367" y="152615"/>
                  </a:moveTo>
                  <a:cubicBezTo>
                    <a:pt x="547996" y="140380"/>
                    <a:pt x="529966" y="135228"/>
                    <a:pt x="510647" y="135228"/>
                  </a:cubicBezTo>
                  <a:cubicBezTo>
                    <a:pt x="491329" y="135228"/>
                    <a:pt x="473299" y="141024"/>
                    <a:pt x="465571" y="152615"/>
                  </a:cubicBezTo>
                  <a:lnTo>
                    <a:pt x="556367" y="152615"/>
                  </a:lnTo>
                  <a:close/>
                  <a:moveTo>
                    <a:pt x="1041901" y="186744"/>
                  </a:moveTo>
                  <a:cubicBezTo>
                    <a:pt x="1028378" y="199622"/>
                    <a:pt x="1006484" y="208638"/>
                    <a:pt x="985878" y="208638"/>
                  </a:cubicBezTo>
                  <a:cubicBezTo>
                    <a:pt x="954325" y="208638"/>
                    <a:pt x="943377" y="195759"/>
                    <a:pt x="943377" y="165493"/>
                  </a:cubicBezTo>
                  <a:lnTo>
                    <a:pt x="943377" y="92084"/>
                  </a:lnTo>
                  <a:lnTo>
                    <a:pt x="870612" y="92084"/>
                  </a:lnTo>
                  <a:lnTo>
                    <a:pt x="870612" y="194471"/>
                  </a:lnTo>
                  <a:cubicBezTo>
                    <a:pt x="870612" y="257577"/>
                    <a:pt x="918264" y="269812"/>
                    <a:pt x="957544" y="269812"/>
                  </a:cubicBezTo>
                  <a:cubicBezTo>
                    <a:pt x="994249" y="269812"/>
                    <a:pt x="1021295" y="258221"/>
                    <a:pt x="1041901" y="243411"/>
                  </a:cubicBezTo>
                  <a:lnTo>
                    <a:pt x="1041901" y="268524"/>
                  </a:lnTo>
                  <a:lnTo>
                    <a:pt x="1114667" y="268524"/>
                  </a:lnTo>
                  <a:lnTo>
                    <a:pt x="1114667" y="91440"/>
                  </a:lnTo>
                  <a:lnTo>
                    <a:pt x="1041901" y="91440"/>
                  </a:lnTo>
                  <a:lnTo>
                    <a:pt x="1041901" y="186744"/>
                  </a:lnTo>
                  <a:close/>
                  <a:moveTo>
                    <a:pt x="1457888" y="89508"/>
                  </a:moveTo>
                  <a:cubicBezTo>
                    <a:pt x="1414744" y="89508"/>
                    <a:pt x="1388987" y="103031"/>
                    <a:pt x="1371600" y="123637"/>
                  </a:cubicBezTo>
                  <a:cubicBezTo>
                    <a:pt x="1357433" y="97879"/>
                    <a:pt x="1327168" y="89508"/>
                    <a:pt x="1305274" y="89508"/>
                  </a:cubicBezTo>
                  <a:cubicBezTo>
                    <a:pt x="1262130" y="89508"/>
                    <a:pt x="1241523" y="106895"/>
                    <a:pt x="1225425" y="121705"/>
                  </a:cubicBezTo>
                  <a:lnTo>
                    <a:pt x="1225425" y="92084"/>
                  </a:lnTo>
                  <a:lnTo>
                    <a:pt x="1152659" y="92084"/>
                  </a:lnTo>
                  <a:lnTo>
                    <a:pt x="1152659" y="269168"/>
                  </a:lnTo>
                  <a:lnTo>
                    <a:pt x="1225425" y="269168"/>
                  </a:lnTo>
                  <a:lnTo>
                    <a:pt x="1225425" y="173865"/>
                  </a:lnTo>
                  <a:cubicBezTo>
                    <a:pt x="1240236" y="159054"/>
                    <a:pt x="1255690" y="151327"/>
                    <a:pt x="1273721" y="151327"/>
                  </a:cubicBezTo>
                  <a:cubicBezTo>
                    <a:pt x="1299478" y="151327"/>
                    <a:pt x="1307850" y="164206"/>
                    <a:pt x="1307850" y="194471"/>
                  </a:cubicBezTo>
                  <a:lnTo>
                    <a:pt x="1307850" y="269168"/>
                  </a:lnTo>
                  <a:lnTo>
                    <a:pt x="1380615" y="269168"/>
                  </a:lnTo>
                  <a:lnTo>
                    <a:pt x="1380615" y="171933"/>
                  </a:lnTo>
                  <a:cubicBezTo>
                    <a:pt x="1395426" y="157122"/>
                    <a:pt x="1408305" y="151327"/>
                    <a:pt x="1426335" y="151327"/>
                  </a:cubicBezTo>
                  <a:cubicBezTo>
                    <a:pt x="1452093" y="151327"/>
                    <a:pt x="1460464" y="164206"/>
                    <a:pt x="1460464" y="194471"/>
                  </a:cubicBezTo>
                  <a:lnTo>
                    <a:pt x="1460464" y="269168"/>
                  </a:lnTo>
                  <a:lnTo>
                    <a:pt x="1533230" y="269168"/>
                  </a:lnTo>
                  <a:lnTo>
                    <a:pt x="1533230" y="162918"/>
                  </a:lnTo>
                  <a:cubicBezTo>
                    <a:pt x="1533230" y="101743"/>
                    <a:pt x="1488798" y="89508"/>
                    <a:pt x="1457888" y="89508"/>
                  </a:cubicBezTo>
                  <a:close/>
                  <a:moveTo>
                    <a:pt x="0" y="92084"/>
                  </a:moveTo>
                  <a:lnTo>
                    <a:pt x="0" y="269168"/>
                  </a:lnTo>
                  <a:lnTo>
                    <a:pt x="72766" y="269168"/>
                  </a:lnTo>
                  <a:lnTo>
                    <a:pt x="72766" y="92084"/>
                  </a:lnTo>
                  <a:lnTo>
                    <a:pt x="0" y="92084"/>
                  </a:lnTo>
                  <a:close/>
                  <a:moveTo>
                    <a:pt x="72766" y="0"/>
                  </a:moveTo>
                  <a:lnTo>
                    <a:pt x="0" y="0"/>
                  </a:lnTo>
                  <a:lnTo>
                    <a:pt x="0" y="72766"/>
                  </a:lnTo>
                  <a:lnTo>
                    <a:pt x="72766" y="72766"/>
                  </a:lnTo>
                  <a:lnTo>
                    <a:pt x="72766" y="0"/>
                  </a:lnTo>
                  <a:close/>
                </a:path>
              </a:pathLst>
            </a:custGeom>
            <a:solidFill>
              <a:srgbClr val="232D4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  <xdr:sp macro="" textlink="">
          <xdr:nvSpPr>
            <xdr:cNvPr id="6" name="Forme libre : forme 20">
              <a:extLst>
                <a:ext uri="{FF2B5EF4-FFF2-40B4-BE49-F238E27FC236}">
                  <a16:creationId xmlns:a16="http://schemas.microsoft.com/office/drawing/2014/main" id="{18B96C31-B618-564A-01D8-8123330FE7B2}"/>
                </a:ext>
              </a:extLst>
            </xdr:cNvPr>
            <xdr:cNvSpPr/>
          </xdr:nvSpPr>
          <xdr:spPr>
            <a:xfrm>
              <a:off x="15119439" y="697487"/>
              <a:ext cx="218296" cy="218940"/>
            </a:xfrm>
            <a:custGeom>
              <a:avLst/>
              <a:gdLst>
                <a:gd name="connsiteX0" fmla="*/ 72766 w 218296"/>
                <a:gd name="connsiteY0" fmla="*/ 0 h 218940"/>
                <a:gd name="connsiteX1" fmla="*/ 72766 w 218296"/>
                <a:gd name="connsiteY1" fmla="*/ 72766 h 218940"/>
                <a:gd name="connsiteX2" fmla="*/ 145531 w 218296"/>
                <a:gd name="connsiteY2" fmla="*/ 72766 h 218940"/>
                <a:gd name="connsiteX3" fmla="*/ 145531 w 218296"/>
                <a:gd name="connsiteY3" fmla="*/ 145531 h 218940"/>
                <a:gd name="connsiteX4" fmla="*/ 218297 w 218296"/>
                <a:gd name="connsiteY4" fmla="*/ 145531 h 218940"/>
                <a:gd name="connsiteX5" fmla="*/ 218297 w 218296"/>
                <a:gd name="connsiteY5" fmla="*/ 0 h 218940"/>
                <a:gd name="connsiteX6" fmla="*/ 72766 w 218296"/>
                <a:gd name="connsiteY6" fmla="*/ 0 h 218940"/>
                <a:gd name="connsiteX7" fmla="*/ 72766 w 218296"/>
                <a:gd name="connsiteY7" fmla="*/ 146175 h 218940"/>
                <a:gd name="connsiteX8" fmla="*/ 0 w 218296"/>
                <a:gd name="connsiteY8" fmla="*/ 146175 h 218940"/>
                <a:gd name="connsiteX9" fmla="*/ 0 w 218296"/>
                <a:gd name="connsiteY9" fmla="*/ 218941 h 218940"/>
                <a:gd name="connsiteX10" fmla="*/ 72766 w 218296"/>
                <a:gd name="connsiteY10" fmla="*/ 218941 h 218940"/>
                <a:gd name="connsiteX11" fmla="*/ 72766 w 218296"/>
                <a:gd name="connsiteY11" fmla="*/ 146175 h 2189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218296" h="218940">
                  <a:moveTo>
                    <a:pt x="72766" y="0"/>
                  </a:moveTo>
                  <a:lnTo>
                    <a:pt x="72766" y="72766"/>
                  </a:lnTo>
                  <a:lnTo>
                    <a:pt x="145531" y="72766"/>
                  </a:lnTo>
                  <a:lnTo>
                    <a:pt x="145531" y="145531"/>
                  </a:lnTo>
                  <a:lnTo>
                    <a:pt x="218297" y="145531"/>
                  </a:lnTo>
                  <a:lnTo>
                    <a:pt x="218297" y="0"/>
                  </a:lnTo>
                  <a:lnTo>
                    <a:pt x="72766" y="0"/>
                  </a:lnTo>
                  <a:close/>
                  <a:moveTo>
                    <a:pt x="72766" y="146175"/>
                  </a:moveTo>
                  <a:lnTo>
                    <a:pt x="0" y="146175"/>
                  </a:lnTo>
                  <a:lnTo>
                    <a:pt x="0" y="218941"/>
                  </a:lnTo>
                  <a:lnTo>
                    <a:pt x="72766" y="218941"/>
                  </a:lnTo>
                  <a:lnTo>
                    <a:pt x="72766" y="146175"/>
                  </a:lnTo>
                  <a:close/>
                </a:path>
              </a:pathLst>
            </a:custGeom>
            <a:solidFill>
              <a:srgbClr val="00AA9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</xdr:row>
      <xdr:rowOff>9525</xdr:rowOff>
    </xdr:from>
    <xdr:to>
      <xdr:col>2</xdr:col>
      <xdr:colOff>388426</xdr:colOff>
      <xdr:row>4</xdr:row>
      <xdr:rowOff>12593</xdr:rowOff>
    </xdr:to>
    <xdr:grpSp>
      <xdr:nvGrpSpPr>
        <xdr:cNvPr id="2" name="Graphique 9">
          <a:extLst>
            <a:ext uri="{FF2B5EF4-FFF2-40B4-BE49-F238E27FC236}">
              <a16:creationId xmlns:a16="http://schemas.microsoft.com/office/drawing/2014/main" id="{B71A949E-2EBA-40B7-8C0A-79BF76B193FC}"/>
            </a:ext>
          </a:extLst>
        </xdr:cNvPr>
        <xdr:cNvGrpSpPr>
          <a:grpSpLocks noChangeAspect="1"/>
        </xdr:cNvGrpSpPr>
      </xdr:nvGrpSpPr>
      <xdr:grpSpPr>
        <a:xfrm>
          <a:off x="304800" y="171450"/>
          <a:ext cx="1731451" cy="488843"/>
          <a:chOff x="13512800" y="647260"/>
          <a:chExt cx="1824935" cy="432728"/>
        </a:xfrm>
      </xdr:grpSpPr>
      <xdr:sp macro="" textlink="">
        <xdr:nvSpPr>
          <xdr:cNvPr id="3" name="Forme libre : forme 17">
            <a:extLst>
              <a:ext uri="{FF2B5EF4-FFF2-40B4-BE49-F238E27FC236}">
                <a16:creationId xmlns:a16="http://schemas.microsoft.com/office/drawing/2014/main" id="{EC0149AB-CC39-4321-A67D-61284B2F44C1}"/>
              </a:ext>
            </a:extLst>
          </xdr:cNvPr>
          <xdr:cNvSpPr/>
        </xdr:nvSpPr>
        <xdr:spPr>
          <a:xfrm>
            <a:off x="13798067" y="988549"/>
            <a:ext cx="1254402" cy="91439"/>
          </a:xfrm>
          <a:custGeom>
            <a:avLst/>
            <a:gdLst>
              <a:gd name="connsiteX0" fmla="*/ 70834 w 1254402"/>
              <a:gd name="connsiteY0" fmla="*/ 31553 h 91439"/>
              <a:gd name="connsiteX1" fmla="*/ 47652 w 1254402"/>
              <a:gd name="connsiteY1" fmla="*/ 53447 h 91439"/>
              <a:gd name="connsiteX2" fmla="*/ 15455 w 1254402"/>
              <a:gd name="connsiteY2" fmla="*/ 53447 h 91439"/>
              <a:gd name="connsiteX3" fmla="*/ 15455 w 1254402"/>
              <a:gd name="connsiteY3" fmla="*/ 69546 h 91439"/>
              <a:gd name="connsiteX4" fmla="*/ 0 w 1254402"/>
              <a:gd name="connsiteY4" fmla="*/ 69546 h 91439"/>
              <a:gd name="connsiteX5" fmla="*/ 0 w 1254402"/>
              <a:gd name="connsiteY5" fmla="*/ 9015 h 91439"/>
              <a:gd name="connsiteX6" fmla="*/ 47652 w 1254402"/>
              <a:gd name="connsiteY6" fmla="*/ 9015 h 91439"/>
              <a:gd name="connsiteX7" fmla="*/ 70834 w 1254402"/>
              <a:gd name="connsiteY7" fmla="*/ 31553 h 91439"/>
              <a:gd name="connsiteX8" fmla="*/ 55379 w 1254402"/>
              <a:gd name="connsiteY8" fmla="*/ 31553 h 91439"/>
              <a:gd name="connsiteX9" fmla="*/ 43788 w 1254402"/>
              <a:gd name="connsiteY9" fmla="*/ 22538 h 91439"/>
              <a:gd name="connsiteX10" fmla="*/ 16099 w 1254402"/>
              <a:gd name="connsiteY10" fmla="*/ 22538 h 91439"/>
              <a:gd name="connsiteX11" fmla="*/ 16099 w 1254402"/>
              <a:gd name="connsiteY11" fmla="*/ 40568 h 91439"/>
              <a:gd name="connsiteX12" fmla="*/ 43144 w 1254402"/>
              <a:gd name="connsiteY12" fmla="*/ 40568 h 91439"/>
              <a:gd name="connsiteX13" fmla="*/ 55379 w 1254402"/>
              <a:gd name="connsiteY13" fmla="*/ 31553 h 91439"/>
              <a:gd name="connsiteX14" fmla="*/ 79849 w 1254402"/>
              <a:gd name="connsiteY14" fmla="*/ 44432 h 91439"/>
              <a:gd name="connsiteX15" fmla="*/ 115266 w 1254402"/>
              <a:gd name="connsiteY15" fmla="*/ 18030 h 91439"/>
              <a:gd name="connsiteX16" fmla="*/ 150683 w 1254402"/>
              <a:gd name="connsiteY16" fmla="*/ 44432 h 91439"/>
              <a:gd name="connsiteX17" fmla="*/ 115266 w 1254402"/>
              <a:gd name="connsiteY17" fmla="*/ 70834 h 91439"/>
              <a:gd name="connsiteX18" fmla="*/ 79849 w 1254402"/>
              <a:gd name="connsiteY18" fmla="*/ 44432 h 91439"/>
              <a:gd name="connsiteX19" fmla="*/ 135228 w 1254402"/>
              <a:gd name="connsiteY19" fmla="*/ 44432 h 91439"/>
              <a:gd name="connsiteX20" fmla="*/ 114622 w 1254402"/>
              <a:gd name="connsiteY20" fmla="*/ 30265 h 91439"/>
              <a:gd name="connsiteX21" fmla="*/ 94016 w 1254402"/>
              <a:gd name="connsiteY21" fmla="*/ 44432 h 91439"/>
              <a:gd name="connsiteX22" fmla="*/ 114622 w 1254402"/>
              <a:gd name="connsiteY22" fmla="*/ 58599 h 91439"/>
              <a:gd name="connsiteX23" fmla="*/ 135228 w 1254402"/>
              <a:gd name="connsiteY23" fmla="*/ 44432 h 91439"/>
              <a:gd name="connsiteX24" fmla="*/ 173221 w 1254402"/>
              <a:gd name="connsiteY24" fmla="*/ 52159 h 91439"/>
              <a:gd name="connsiteX25" fmla="*/ 195115 w 1254402"/>
              <a:gd name="connsiteY25" fmla="*/ 59887 h 91439"/>
              <a:gd name="connsiteX26" fmla="*/ 213789 w 1254402"/>
              <a:gd name="connsiteY26" fmla="*/ 54735 h 91439"/>
              <a:gd name="connsiteX27" fmla="*/ 193827 w 1254402"/>
              <a:gd name="connsiteY27" fmla="*/ 49584 h 91439"/>
              <a:gd name="connsiteX28" fmla="*/ 160342 w 1254402"/>
              <a:gd name="connsiteY28" fmla="*/ 34129 h 91439"/>
              <a:gd name="connsiteX29" fmla="*/ 193827 w 1254402"/>
              <a:gd name="connsiteY29" fmla="*/ 18674 h 91439"/>
              <a:gd name="connsiteX30" fmla="*/ 226668 w 1254402"/>
              <a:gd name="connsiteY30" fmla="*/ 35417 h 91439"/>
              <a:gd name="connsiteX31" fmla="*/ 211857 w 1254402"/>
              <a:gd name="connsiteY31" fmla="*/ 35417 h 91439"/>
              <a:gd name="connsiteX32" fmla="*/ 192539 w 1254402"/>
              <a:gd name="connsiteY32" fmla="*/ 30265 h 91439"/>
              <a:gd name="connsiteX33" fmla="*/ 174509 w 1254402"/>
              <a:gd name="connsiteY33" fmla="*/ 34129 h 91439"/>
              <a:gd name="connsiteX34" fmla="*/ 194471 w 1254402"/>
              <a:gd name="connsiteY34" fmla="*/ 39281 h 91439"/>
              <a:gd name="connsiteX35" fmla="*/ 227956 w 1254402"/>
              <a:gd name="connsiteY35" fmla="*/ 54735 h 91439"/>
              <a:gd name="connsiteX36" fmla="*/ 195759 w 1254402"/>
              <a:gd name="connsiteY36" fmla="*/ 71478 h 91439"/>
              <a:gd name="connsiteX37" fmla="*/ 158410 w 1254402"/>
              <a:gd name="connsiteY37" fmla="*/ 52803 h 91439"/>
              <a:gd name="connsiteX38" fmla="*/ 173221 w 1254402"/>
              <a:gd name="connsiteY38" fmla="*/ 52803 h 91439"/>
              <a:gd name="connsiteX39" fmla="*/ 254358 w 1254402"/>
              <a:gd name="connsiteY39" fmla="*/ 644 h 91439"/>
              <a:gd name="connsiteX40" fmla="*/ 254358 w 1254402"/>
              <a:gd name="connsiteY40" fmla="*/ 13523 h 91439"/>
              <a:gd name="connsiteX41" fmla="*/ 239547 w 1254402"/>
              <a:gd name="connsiteY41" fmla="*/ 13523 h 91439"/>
              <a:gd name="connsiteX42" fmla="*/ 239547 w 1254402"/>
              <a:gd name="connsiteY42" fmla="*/ 644 h 91439"/>
              <a:gd name="connsiteX43" fmla="*/ 254358 w 1254402"/>
              <a:gd name="connsiteY43" fmla="*/ 644 h 91439"/>
              <a:gd name="connsiteX44" fmla="*/ 254358 w 1254402"/>
              <a:gd name="connsiteY44" fmla="*/ 19318 h 91439"/>
              <a:gd name="connsiteX45" fmla="*/ 254358 w 1254402"/>
              <a:gd name="connsiteY45" fmla="*/ 70190 h 91439"/>
              <a:gd name="connsiteX46" fmla="*/ 239547 w 1254402"/>
              <a:gd name="connsiteY46" fmla="*/ 70190 h 91439"/>
              <a:gd name="connsiteX47" fmla="*/ 239547 w 1254402"/>
              <a:gd name="connsiteY47" fmla="*/ 19318 h 91439"/>
              <a:gd name="connsiteX48" fmla="*/ 254358 w 1254402"/>
              <a:gd name="connsiteY48" fmla="*/ 19318 h 91439"/>
              <a:gd name="connsiteX49" fmla="*/ 292994 w 1254402"/>
              <a:gd name="connsiteY49" fmla="*/ 31553 h 91439"/>
              <a:gd name="connsiteX50" fmla="*/ 292994 w 1254402"/>
              <a:gd name="connsiteY50" fmla="*/ 46364 h 91439"/>
              <a:gd name="connsiteX51" fmla="*/ 303941 w 1254402"/>
              <a:gd name="connsiteY51" fmla="*/ 58599 h 91439"/>
              <a:gd name="connsiteX52" fmla="*/ 316820 w 1254402"/>
              <a:gd name="connsiteY52" fmla="*/ 57955 h 91439"/>
              <a:gd name="connsiteX53" fmla="*/ 316820 w 1254402"/>
              <a:gd name="connsiteY53" fmla="*/ 69546 h 91439"/>
              <a:gd name="connsiteX54" fmla="*/ 299434 w 1254402"/>
              <a:gd name="connsiteY54" fmla="*/ 70834 h 91439"/>
              <a:gd name="connsiteX55" fmla="*/ 278184 w 1254402"/>
              <a:gd name="connsiteY55" fmla="*/ 54735 h 91439"/>
              <a:gd name="connsiteX56" fmla="*/ 278184 w 1254402"/>
              <a:gd name="connsiteY56" fmla="*/ 31553 h 91439"/>
              <a:gd name="connsiteX57" fmla="*/ 264661 w 1254402"/>
              <a:gd name="connsiteY57" fmla="*/ 31553 h 91439"/>
              <a:gd name="connsiteX58" fmla="*/ 264661 w 1254402"/>
              <a:gd name="connsiteY58" fmla="*/ 19318 h 91439"/>
              <a:gd name="connsiteX59" fmla="*/ 278184 w 1254402"/>
              <a:gd name="connsiteY59" fmla="*/ 19318 h 91439"/>
              <a:gd name="connsiteX60" fmla="*/ 278184 w 1254402"/>
              <a:gd name="connsiteY60" fmla="*/ 9015 h 91439"/>
              <a:gd name="connsiteX61" fmla="*/ 292994 w 1254402"/>
              <a:gd name="connsiteY61" fmla="*/ 4508 h 91439"/>
              <a:gd name="connsiteX62" fmla="*/ 292994 w 1254402"/>
              <a:gd name="connsiteY62" fmla="*/ 19318 h 91439"/>
              <a:gd name="connsiteX63" fmla="*/ 316820 w 1254402"/>
              <a:gd name="connsiteY63" fmla="*/ 19318 h 91439"/>
              <a:gd name="connsiteX64" fmla="*/ 316820 w 1254402"/>
              <a:gd name="connsiteY64" fmla="*/ 31553 h 91439"/>
              <a:gd name="connsiteX65" fmla="*/ 292994 w 1254402"/>
              <a:gd name="connsiteY65" fmla="*/ 31553 h 91439"/>
              <a:gd name="connsiteX66" fmla="*/ 342578 w 1254402"/>
              <a:gd name="connsiteY66" fmla="*/ 644 h 91439"/>
              <a:gd name="connsiteX67" fmla="*/ 342578 w 1254402"/>
              <a:gd name="connsiteY67" fmla="*/ 13523 h 91439"/>
              <a:gd name="connsiteX68" fmla="*/ 327767 w 1254402"/>
              <a:gd name="connsiteY68" fmla="*/ 13523 h 91439"/>
              <a:gd name="connsiteX69" fmla="*/ 327767 w 1254402"/>
              <a:gd name="connsiteY69" fmla="*/ 644 h 91439"/>
              <a:gd name="connsiteX70" fmla="*/ 342578 w 1254402"/>
              <a:gd name="connsiteY70" fmla="*/ 644 h 91439"/>
              <a:gd name="connsiteX71" fmla="*/ 342578 w 1254402"/>
              <a:gd name="connsiteY71" fmla="*/ 19318 h 91439"/>
              <a:gd name="connsiteX72" fmla="*/ 342578 w 1254402"/>
              <a:gd name="connsiteY72" fmla="*/ 70190 h 91439"/>
              <a:gd name="connsiteX73" fmla="*/ 327767 w 1254402"/>
              <a:gd name="connsiteY73" fmla="*/ 70190 h 91439"/>
              <a:gd name="connsiteX74" fmla="*/ 327767 w 1254402"/>
              <a:gd name="connsiteY74" fmla="*/ 19318 h 91439"/>
              <a:gd name="connsiteX75" fmla="*/ 342578 w 1254402"/>
              <a:gd name="connsiteY75" fmla="*/ 19318 h 91439"/>
              <a:gd name="connsiteX76" fmla="*/ 424359 w 1254402"/>
              <a:gd name="connsiteY76" fmla="*/ 19318 h 91439"/>
              <a:gd name="connsiteX77" fmla="*/ 398601 w 1254402"/>
              <a:gd name="connsiteY77" fmla="*/ 70190 h 91439"/>
              <a:gd name="connsiteX78" fmla="*/ 377995 w 1254402"/>
              <a:gd name="connsiteY78" fmla="*/ 70190 h 91439"/>
              <a:gd name="connsiteX79" fmla="*/ 352237 w 1254402"/>
              <a:gd name="connsiteY79" fmla="*/ 19318 h 91439"/>
              <a:gd name="connsiteX80" fmla="*/ 368336 w 1254402"/>
              <a:gd name="connsiteY80" fmla="*/ 19318 h 91439"/>
              <a:gd name="connsiteX81" fmla="*/ 388298 w 1254402"/>
              <a:gd name="connsiteY81" fmla="*/ 59887 h 91439"/>
              <a:gd name="connsiteX82" fmla="*/ 408260 w 1254402"/>
              <a:gd name="connsiteY82" fmla="*/ 19318 h 91439"/>
              <a:gd name="connsiteX83" fmla="*/ 424359 w 1254402"/>
              <a:gd name="connsiteY83" fmla="*/ 19318 h 91439"/>
              <a:gd name="connsiteX84" fmla="*/ 481670 w 1254402"/>
              <a:gd name="connsiteY84" fmla="*/ 51515 h 91439"/>
              <a:gd name="connsiteX85" fmla="*/ 496481 w 1254402"/>
              <a:gd name="connsiteY85" fmla="*/ 51515 h 91439"/>
              <a:gd name="connsiteX86" fmla="*/ 461708 w 1254402"/>
              <a:gd name="connsiteY86" fmla="*/ 70834 h 91439"/>
              <a:gd name="connsiteX87" fmla="*/ 427579 w 1254402"/>
              <a:gd name="connsiteY87" fmla="*/ 44432 h 91439"/>
              <a:gd name="connsiteX88" fmla="*/ 462995 w 1254402"/>
              <a:gd name="connsiteY88" fmla="*/ 18030 h 91439"/>
              <a:gd name="connsiteX89" fmla="*/ 497768 w 1254402"/>
              <a:gd name="connsiteY89" fmla="*/ 47652 h 91439"/>
              <a:gd name="connsiteX90" fmla="*/ 442389 w 1254402"/>
              <a:gd name="connsiteY90" fmla="*/ 47652 h 91439"/>
              <a:gd name="connsiteX91" fmla="*/ 461708 w 1254402"/>
              <a:gd name="connsiteY91" fmla="*/ 58599 h 91439"/>
              <a:gd name="connsiteX92" fmla="*/ 481670 w 1254402"/>
              <a:gd name="connsiteY92" fmla="*/ 51515 h 91439"/>
              <a:gd name="connsiteX93" fmla="*/ 442389 w 1254402"/>
              <a:gd name="connsiteY93" fmla="*/ 38637 h 91439"/>
              <a:gd name="connsiteX94" fmla="*/ 481026 w 1254402"/>
              <a:gd name="connsiteY94" fmla="*/ 38637 h 91439"/>
              <a:gd name="connsiteX95" fmla="*/ 461708 w 1254402"/>
              <a:gd name="connsiteY95" fmla="*/ 29621 h 91439"/>
              <a:gd name="connsiteX96" fmla="*/ 442389 w 1254402"/>
              <a:gd name="connsiteY96" fmla="*/ 38637 h 91439"/>
              <a:gd name="connsiteX97" fmla="*/ 622694 w 1254402"/>
              <a:gd name="connsiteY97" fmla="*/ 644 h 91439"/>
              <a:gd name="connsiteX98" fmla="*/ 622694 w 1254402"/>
              <a:gd name="connsiteY98" fmla="*/ 69546 h 91439"/>
              <a:gd name="connsiteX99" fmla="*/ 607883 w 1254402"/>
              <a:gd name="connsiteY99" fmla="*/ 69546 h 91439"/>
              <a:gd name="connsiteX100" fmla="*/ 607883 w 1254402"/>
              <a:gd name="connsiteY100" fmla="*/ 61819 h 91439"/>
              <a:gd name="connsiteX101" fmla="*/ 582769 w 1254402"/>
              <a:gd name="connsiteY101" fmla="*/ 70834 h 91439"/>
              <a:gd name="connsiteX102" fmla="*/ 552504 w 1254402"/>
              <a:gd name="connsiteY102" fmla="*/ 44432 h 91439"/>
              <a:gd name="connsiteX103" fmla="*/ 582769 w 1254402"/>
              <a:gd name="connsiteY103" fmla="*/ 18030 h 91439"/>
              <a:gd name="connsiteX104" fmla="*/ 607883 w 1254402"/>
              <a:gd name="connsiteY104" fmla="*/ 27046 h 91439"/>
              <a:gd name="connsiteX105" fmla="*/ 607883 w 1254402"/>
              <a:gd name="connsiteY105" fmla="*/ 644 h 91439"/>
              <a:gd name="connsiteX106" fmla="*/ 622694 w 1254402"/>
              <a:gd name="connsiteY106" fmla="*/ 644 h 91439"/>
              <a:gd name="connsiteX107" fmla="*/ 607883 w 1254402"/>
              <a:gd name="connsiteY107" fmla="*/ 44432 h 91439"/>
              <a:gd name="connsiteX108" fmla="*/ 587277 w 1254402"/>
              <a:gd name="connsiteY108" fmla="*/ 30265 h 91439"/>
              <a:gd name="connsiteX109" fmla="*/ 566670 w 1254402"/>
              <a:gd name="connsiteY109" fmla="*/ 44432 h 91439"/>
              <a:gd name="connsiteX110" fmla="*/ 587277 w 1254402"/>
              <a:gd name="connsiteY110" fmla="*/ 58599 h 91439"/>
              <a:gd name="connsiteX111" fmla="*/ 607883 w 1254402"/>
              <a:gd name="connsiteY111" fmla="*/ 44432 h 91439"/>
              <a:gd name="connsiteX112" fmla="*/ 649739 w 1254402"/>
              <a:gd name="connsiteY112" fmla="*/ 644 h 91439"/>
              <a:gd name="connsiteX113" fmla="*/ 649739 w 1254402"/>
              <a:gd name="connsiteY113" fmla="*/ 13523 h 91439"/>
              <a:gd name="connsiteX114" fmla="*/ 634928 w 1254402"/>
              <a:gd name="connsiteY114" fmla="*/ 13523 h 91439"/>
              <a:gd name="connsiteX115" fmla="*/ 634928 w 1254402"/>
              <a:gd name="connsiteY115" fmla="*/ 644 h 91439"/>
              <a:gd name="connsiteX116" fmla="*/ 649739 w 1254402"/>
              <a:gd name="connsiteY116" fmla="*/ 644 h 91439"/>
              <a:gd name="connsiteX117" fmla="*/ 649739 w 1254402"/>
              <a:gd name="connsiteY117" fmla="*/ 19318 h 91439"/>
              <a:gd name="connsiteX118" fmla="*/ 649739 w 1254402"/>
              <a:gd name="connsiteY118" fmla="*/ 70190 h 91439"/>
              <a:gd name="connsiteX119" fmla="*/ 634928 w 1254402"/>
              <a:gd name="connsiteY119" fmla="*/ 70190 h 91439"/>
              <a:gd name="connsiteX120" fmla="*/ 634928 w 1254402"/>
              <a:gd name="connsiteY120" fmla="*/ 19318 h 91439"/>
              <a:gd name="connsiteX121" fmla="*/ 649739 w 1254402"/>
              <a:gd name="connsiteY121" fmla="*/ 19318 h 91439"/>
              <a:gd name="connsiteX122" fmla="*/ 730876 w 1254402"/>
              <a:gd name="connsiteY122" fmla="*/ 19318 h 91439"/>
              <a:gd name="connsiteX123" fmla="*/ 730876 w 1254402"/>
              <a:gd name="connsiteY123" fmla="*/ 61819 h 91439"/>
              <a:gd name="connsiteX124" fmla="*/ 698035 w 1254402"/>
              <a:gd name="connsiteY124" fmla="*/ 91440 h 91439"/>
              <a:gd name="connsiteX125" fmla="*/ 666482 w 1254402"/>
              <a:gd name="connsiteY125" fmla="*/ 87576 h 91439"/>
              <a:gd name="connsiteX126" fmla="*/ 666482 w 1254402"/>
              <a:gd name="connsiteY126" fmla="*/ 75985 h 91439"/>
              <a:gd name="connsiteX127" fmla="*/ 694815 w 1254402"/>
              <a:gd name="connsiteY127" fmla="*/ 79849 h 91439"/>
              <a:gd name="connsiteX128" fmla="*/ 716065 w 1254402"/>
              <a:gd name="connsiteY128" fmla="*/ 61175 h 91439"/>
              <a:gd name="connsiteX129" fmla="*/ 690308 w 1254402"/>
              <a:gd name="connsiteY129" fmla="*/ 70190 h 91439"/>
              <a:gd name="connsiteX130" fmla="*/ 660686 w 1254402"/>
              <a:gd name="connsiteY130" fmla="*/ 44432 h 91439"/>
              <a:gd name="connsiteX131" fmla="*/ 690308 w 1254402"/>
              <a:gd name="connsiteY131" fmla="*/ 18674 h 91439"/>
              <a:gd name="connsiteX132" fmla="*/ 716065 w 1254402"/>
              <a:gd name="connsiteY132" fmla="*/ 27690 h 91439"/>
              <a:gd name="connsiteX133" fmla="*/ 716065 w 1254402"/>
              <a:gd name="connsiteY133" fmla="*/ 19318 h 91439"/>
              <a:gd name="connsiteX134" fmla="*/ 730876 w 1254402"/>
              <a:gd name="connsiteY134" fmla="*/ 19318 h 91439"/>
              <a:gd name="connsiteX135" fmla="*/ 715421 w 1254402"/>
              <a:gd name="connsiteY135" fmla="*/ 43788 h 91439"/>
              <a:gd name="connsiteX136" fmla="*/ 694815 w 1254402"/>
              <a:gd name="connsiteY136" fmla="*/ 30909 h 91439"/>
              <a:gd name="connsiteX137" fmla="*/ 674209 w 1254402"/>
              <a:gd name="connsiteY137" fmla="*/ 43788 h 91439"/>
              <a:gd name="connsiteX138" fmla="*/ 694815 w 1254402"/>
              <a:gd name="connsiteY138" fmla="*/ 56667 h 91439"/>
              <a:gd name="connsiteX139" fmla="*/ 715421 w 1254402"/>
              <a:gd name="connsiteY139" fmla="*/ 43788 h 91439"/>
              <a:gd name="connsiteX140" fmla="*/ 757278 w 1254402"/>
              <a:gd name="connsiteY140" fmla="*/ 644 h 91439"/>
              <a:gd name="connsiteX141" fmla="*/ 757278 w 1254402"/>
              <a:gd name="connsiteY141" fmla="*/ 13523 h 91439"/>
              <a:gd name="connsiteX142" fmla="*/ 742467 w 1254402"/>
              <a:gd name="connsiteY142" fmla="*/ 13523 h 91439"/>
              <a:gd name="connsiteX143" fmla="*/ 742467 w 1254402"/>
              <a:gd name="connsiteY143" fmla="*/ 644 h 91439"/>
              <a:gd name="connsiteX144" fmla="*/ 757278 w 1254402"/>
              <a:gd name="connsiteY144" fmla="*/ 644 h 91439"/>
              <a:gd name="connsiteX145" fmla="*/ 757278 w 1254402"/>
              <a:gd name="connsiteY145" fmla="*/ 19318 h 91439"/>
              <a:gd name="connsiteX146" fmla="*/ 757278 w 1254402"/>
              <a:gd name="connsiteY146" fmla="*/ 70190 h 91439"/>
              <a:gd name="connsiteX147" fmla="*/ 742467 w 1254402"/>
              <a:gd name="connsiteY147" fmla="*/ 70190 h 91439"/>
              <a:gd name="connsiteX148" fmla="*/ 742467 w 1254402"/>
              <a:gd name="connsiteY148" fmla="*/ 19318 h 91439"/>
              <a:gd name="connsiteX149" fmla="*/ 757278 w 1254402"/>
              <a:gd name="connsiteY149" fmla="*/ 19318 h 91439"/>
              <a:gd name="connsiteX150" fmla="*/ 795914 w 1254402"/>
              <a:gd name="connsiteY150" fmla="*/ 31553 h 91439"/>
              <a:gd name="connsiteX151" fmla="*/ 795914 w 1254402"/>
              <a:gd name="connsiteY151" fmla="*/ 46364 h 91439"/>
              <a:gd name="connsiteX152" fmla="*/ 806861 w 1254402"/>
              <a:gd name="connsiteY152" fmla="*/ 58599 h 91439"/>
              <a:gd name="connsiteX153" fmla="*/ 819740 w 1254402"/>
              <a:gd name="connsiteY153" fmla="*/ 57955 h 91439"/>
              <a:gd name="connsiteX154" fmla="*/ 819740 w 1254402"/>
              <a:gd name="connsiteY154" fmla="*/ 69546 h 91439"/>
              <a:gd name="connsiteX155" fmla="*/ 802354 w 1254402"/>
              <a:gd name="connsiteY155" fmla="*/ 70834 h 91439"/>
              <a:gd name="connsiteX156" fmla="*/ 781104 w 1254402"/>
              <a:gd name="connsiteY156" fmla="*/ 54735 h 91439"/>
              <a:gd name="connsiteX157" fmla="*/ 781104 w 1254402"/>
              <a:gd name="connsiteY157" fmla="*/ 31553 h 91439"/>
              <a:gd name="connsiteX158" fmla="*/ 767581 w 1254402"/>
              <a:gd name="connsiteY158" fmla="*/ 31553 h 91439"/>
              <a:gd name="connsiteX159" fmla="*/ 767581 w 1254402"/>
              <a:gd name="connsiteY159" fmla="*/ 19318 h 91439"/>
              <a:gd name="connsiteX160" fmla="*/ 781104 w 1254402"/>
              <a:gd name="connsiteY160" fmla="*/ 19318 h 91439"/>
              <a:gd name="connsiteX161" fmla="*/ 781104 w 1254402"/>
              <a:gd name="connsiteY161" fmla="*/ 9015 h 91439"/>
              <a:gd name="connsiteX162" fmla="*/ 795914 w 1254402"/>
              <a:gd name="connsiteY162" fmla="*/ 4508 h 91439"/>
              <a:gd name="connsiteX163" fmla="*/ 795914 w 1254402"/>
              <a:gd name="connsiteY163" fmla="*/ 19318 h 91439"/>
              <a:gd name="connsiteX164" fmla="*/ 819740 w 1254402"/>
              <a:gd name="connsiteY164" fmla="*/ 19318 h 91439"/>
              <a:gd name="connsiteX165" fmla="*/ 819740 w 1254402"/>
              <a:gd name="connsiteY165" fmla="*/ 31553 h 91439"/>
              <a:gd name="connsiteX166" fmla="*/ 795914 w 1254402"/>
              <a:gd name="connsiteY166" fmla="*/ 31553 h 91439"/>
              <a:gd name="connsiteX167" fmla="*/ 898301 w 1254402"/>
              <a:gd name="connsiteY167" fmla="*/ 44432 h 91439"/>
              <a:gd name="connsiteX168" fmla="*/ 898301 w 1254402"/>
              <a:gd name="connsiteY168" fmla="*/ 70190 h 91439"/>
              <a:gd name="connsiteX169" fmla="*/ 883491 w 1254402"/>
              <a:gd name="connsiteY169" fmla="*/ 70190 h 91439"/>
              <a:gd name="connsiteX170" fmla="*/ 883491 w 1254402"/>
              <a:gd name="connsiteY170" fmla="*/ 63750 h 91439"/>
              <a:gd name="connsiteX171" fmla="*/ 852581 w 1254402"/>
              <a:gd name="connsiteY171" fmla="*/ 70834 h 91439"/>
              <a:gd name="connsiteX172" fmla="*/ 829400 w 1254402"/>
              <a:gd name="connsiteY172" fmla="*/ 54735 h 91439"/>
              <a:gd name="connsiteX173" fmla="*/ 860309 w 1254402"/>
              <a:gd name="connsiteY173" fmla="*/ 37349 h 91439"/>
              <a:gd name="connsiteX174" fmla="*/ 883491 w 1254402"/>
              <a:gd name="connsiteY174" fmla="*/ 41212 h 91439"/>
              <a:gd name="connsiteX175" fmla="*/ 864172 w 1254402"/>
              <a:gd name="connsiteY175" fmla="*/ 30909 h 91439"/>
              <a:gd name="connsiteX176" fmla="*/ 839059 w 1254402"/>
              <a:gd name="connsiteY176" fmla="*/ 34773 h 91439"/>
              <a:gd name="connsiteX177" fmla="*/ 833907 w 1254402"/>
              <a:gd name="connsiteY177" fmla="*/ 23826 h 91439"/>
              <a:gd name="connsiteX178" fmla="*/ 864816 w 1254402"/>
              <a:gd name="connsiteY178" fmla="*/ 18674 h 91439"/>
              <a:gd name="connsiteX179" fmla="*/ 898301 w 1254402"/>
              <a:gd name="connsiteY179" fmla="*/ 44432 h 91439"/>
              <a:gd name="connsiteX180" fmla="*/ 883491 w 1254402"/>
              <a:gd name="connsiteY180" fmla="*/ 50228 h 91439"/>
              <a:gd name="connsiteX181" fmla="*/ 862241 w 1254402"/>
              <a:gd name="connsiteY181" fmla="*/ 47008 h 91439"/>
              <a:gd name="connsiteX182" fmla="*/ 844854 w 1254402"/>
              <a:gd name="connsiteY182" fmla="*/ 54091 h 91439"/>
              <a:gd name="connsiteX183" fmla="*/ 857733 w 1254402"/>
              <a:gd name="connsiteY183" fmla="*/ 59887 h 91439"/>
              <a:gd name="connsiteX184" fmla="*/ 884135 w 1254402"/>
              <a:gd name="connsiteY184" fmla="*/ 54091 h 91439"/>
              <a:gd name="connsiteX185" fmla="*/ 884135 w 1254402"/>
              <a:gd name="connsiteY185" fmla="*/ 50228 h 91439"/>
              <a:gd name="connsiteX186" fmla="*/ 925347 w 1254402"/>
              <a:gd name="connsiteY186" fmla="*/ 644 h 91439"/>
              <a:gd name="connsiteX187" fmla="*/ 925347 w 1254402"/>
              <a:gd name="connsiteY187" fmla="*/ 69546 h 91439"/>
              <a:gd name="connsiteX188" fmla="*/ 910536 w 1254402"/>
              <a:gd name="connsiteY188" fmla="*/ 69546 h 91439"/>
              <a:gd name="connsiteX189" fmla="*/ 910536 w 1254402"/>
              <a:gd name="connsiteY189" fmla="*/ 644 h 91439"/>
              <a:gd name="connsiteX190" fmla="*/ 925347 w 1254402"/>
              <a:gd name="connsiteY190" fmla="*/ 644 h 91439"/>
              <a:gd name="connsiteX191" fmla="*/ 1009704 w 1254402"/>
              <a:gd name="connsiteY191" fmla="*/ 19318 h 91439"/>
              <a:gd name="connsiteX192" fmla="*/ 1030954 w 1254402"/>
              <a:gd name="connsiteY192" fmla="*/ 19318 h 91439"/>
              <a:gd name="connsiteX193" fmla="*/ 1030954 w 1254402"/>
              <a:gd name="connsiteY193" fmla="*/ 31553 h 91439"/>
              <a:gd name="connsiteX194" fmla="*/ 1009704 w 1254402"/>
              <a:gd name="connsiteY194" fmla="*/ 31553 h 91439"/>
              <a:gd name="connsiteX195" fmla="*/ 1009704 w 1254402"/>
              <a:gd name="connsiteY195" fmla="*/ 70190 h 91439"/>
              <a:gd name="connsiteX196" fmla="*/ 994893 w 1254402"/>
              <a:gd name="connsiteY196" fmla="*/ 70190 h 91439"/>
              <a:gd name="connsiteX197" fmla="*/ 994893 w 1254402"/>
              <a:gd name="connsiteY197" fmla="*/ 31553 h 91439"/>
              <a:gd name="connsiteX198" fmla="*/ 981370 w 1254402"/>
              <a:gd name="connsiteY198" fmla="*/ 31553 h 91439"/>
              <a:gd name="connsiteX199" fmla="*/ 981370 w 1254402"/>
              <a:gd name="connsiteY199" fmla="*/ 19318 h 91439"/>
              <a:gd name="connsiteX200" fmla="*/ 994893 w 1254402"/>
              <a:gd name="connsiteY200" fmla="*/ 19318 h 91439"/>
              <a:gd name="connsiteX201" fmla="*/ 994893 w 1254402"/>
              <a:gd name="connsiteY201" fmla="*/ 15455 h 91439"/>
              <a:gd name="connsiteX202" fmla="*/ 1016143 w 1254402"/>
              <a:gd name="connsiteY202" fmla="*/ 0 h 91439"/>
              <a:gd name="connsiteX203" fmla="*/ 1031598 w 1254402"/>
              <a:gd name="connsiteY203" fmla="*/ 644 h 91439"/>
              <a:gd name="connsiteX204" fmla="*/ 1031598 w 1254402"/>
              <a:gd name="connsiteY204" fmla="*/ 10947 h 91439"/>
              <a:gd name="connsiteX205" fmla="*/ 1021295 w 1254402"/>
              <a:gd name="connsiteY205" fmla="*/ 10303 h 91439"/>
              <a:gd name="connsiteX206" fmla="*/ 1009704 w 1254402"/>
              <a:gd name="connsiteY206" fmla="*/ 19318 h 91439"/>
              <a:gd name="connsiteX207" fmla="*/ 1056712 w 1254402"/>
              <a:gd name="connsiteY207" fmla="*/ 644 h 91439"/>
              <a:gd name="connsiteX208" fmla="*/ 1056712 w 1254402"/>
              <a:gd name="connsiteY208" fmla="*/ 69546 h 91439"/>
              <a:gd name="connsiteX209" fmla="*/ 1041901 w 1254402"/>
              <a:gd name="connsiteY209" fmla="*/ 69546 h 91439"/>
              <a:gd name="connsiteX210" fmla="*/ 1041901 w 1254402"/>
              <a:gd name="connsiteY210" fmla="*/ 644 h 91439"/>
              <a:gd name="connsiteX211" fmla="*/ 1056712 w 1254402"/>
              <a:gd name="connsiteY211" fmla="*/ 644 h 91439"/>
              <a:gd name="connsiteX212" fmla="*/ 1067659 w 1254402"/>
              <a:gd name="connsiteY212" fmla="*/ 44432 h 91439"/>
              <a:gd name="connsiteX213" fmla="*/ 1103076 w 1254402"/>
              <a:gd name="connsiteY213" fmla="*/ 18030 h 91439"/>
              <a:gd name="connsiteX214" fmla="*/ 1138493 w 1254402"/>
              <a:gd name="connsiteY214" fmla="*/ 44432 h 91439"/>
              <a:gd name="connsiteX215" fmla="*/ 1103076 w 1254402"/>
              <a:gd name="connsiteY215" fmla="*/ 70834 h 91439"/>
              <a:gd name="connsiteX216" fmla="*/ 1067659 w 1254402"/>
              <a:gd name="connsiteY216" fmla="*/ 44432 h 91439"/>
              <a:gd name="connsiteX217" fmla="*/ 1123038 w 1254402"/>
              <a:gd name="connsiteY217" fmla="*/ 44432 h 91439"/>
              <a:gd name="connsiteX218" fmla="*/ 1102432 w 1254402"/>
              <a:gd name="connsiteY218" fmla="*/ 30265 h 91439"/>
              <a:gd name="connsiteX219" fmla="*/ 1081825 w 1254402"/>
              <a:gd name="connsiteY219" fmla="*/ 44432 h 91439"/>
              <a:gd name="connsiteX220" fmla="*/ 1102432 w 1254402"/>
              <a:gd name="connsiteY220" fmla="*/ 58599 h 91439"/>
              <a:gd name="connsiteX221" fmla="*/ 1123038 w 1254402"/>
              <a:gd name="connsiteY221" fmla="*/ 44432 h 91439"/>
              <a:gd name="connsiteX222" fmla="*/ 1254402 w 1254402"/>
              <a:gd name="connsiteY222" fmla="*/ 19318 h 91439"/>
              <a:gd name="connsiteX223" fmla="*/ 1231864 w 1254402"/>
              <a:gd name="connsiteY223" fmla="*/ 70190 h 91439"/>
              <a:gd name="connsiteX224" fmla="*/ 1211902 w 1254402"/>
              <a:gd name="connsiteY224" fmla="*/ 70190 h 91439"/>
              <a:gd name="connsiteX225" fmla="*/ 1197091 w 1254402"/>
              <a:gd name="connsiteY225" fmla="*/ 34773 h 91439"/>
              <a:gd name="connsiteX226" fmla="*/ 1182281 w 1254402"/>
              <a:gd name="connsiteY226" fmla="*/ 70190 h 91439"/>
              <a:gd name="connsiteX227" fmla="*/ 1162318 w 1254402"/>
              <a:gd name="connsiteY227" fmla="*/ 70190 h 91439"/>
              <a:gd name="connsiteX228" fmla="*/ 1139780 w 1254402"/>
              <a:gd name="connsiteY228" fmla="*/ 19318 h 91439"/>
              <a:gd name="connsiteX229" fmla="*/ 1156523 w 1254402"/>
              <a:gd name="connsiteY229" fmla="*/ 19318 h 91439"/>
              <a:gd name="connsiteX230" fmla="*/ 1173265 w 1254402"/>
              <a:gd name="connsiteY230" fmla="*/ 58599 h 91439"/>
              <a:gd name="connsiteX231" fmla="*/ 1188720 w 1254402"/>
              <a:gd name="connsiteY231" fmla="*/ 19318 h 91439"/>
              <a:gd name="connsiteX232" fmla="*/ 1206107 w 1254402"/>
              <a:gd name="connsiteY232" fmla="*/ 19318 h 91439"/>
              <a:gd name="connsiteX233" fmla="*/ 1221561 w 1254402"/>
              <a:gd name="connsiteY233" fmla="*/ 57955 h 91439"/>
              <a:gd name="connsiteX234" fmla="*/ 1238304 w 1254402"/>
              <a:gd name="connsiteY234" fmla="*/ 18674 h 91439"/>
              <a:gd name="connsiteX235" fmla="*/ 1254402 w 1254402"/>
              <a:gd name="connsiteY235" fmla="*/ 18674 h 91439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  <a:cxn ang="0">
                <a:pos x="connsiteX92" y="connsiteY92"/>
              </a:cxn>
              <a:cxn ang="0">
                <a:pos x="connsiteX93" y="connsiteY93"/>
              </a:cxn>
              <a:cxn ang="0">
                <a:pos x="connsiteX94" y="connsiteY94"/>
              </a:cxn>
              <a:cxn ang="0">
                <a:pos x="connsiteX95" y="connsiteY95"/>
              </a:cxn>
              <a:cxn ang="0">
                <a:pos x="connsiteX96" y="connsiteY96"/>
              </a:cxn>
              <a:cxn ang="0">
                <a:pos x="connsiteX97" y="connsiteY97"/>
              </a:cxn>
              <a:cxn ang="0">
                <a:pos x="connsiteX98" y="connsiteY98"/>
              </a:cxn>
              <a:cxn ang="0">
                <a:pos x="connsiteX99" y="connsiteY99"/>
              </a:cxn>
              <a:cxn ang="0">
                <a:pos x="connsiteX100" y="connsiteY100"/>
              </a:cxn>
              <a:cxn ang="0">
                <a:pos x="connsiteX101" y="connsiteY101"/>
              </a:cxn>
              <a:cxn ang="0">
                <a:pos x="connsiteX102" y="connsiteY102"/>
              </a:cxn>
              <a:cxn ang="0">
                <a:pos x="connsiteX103" y="connsiteY103"/>
              </a:cxn>
              <a:cxn ang="0">
                <a:pos x="connsiteX104" y="connsiteY104"/>
              </a:cxn>
              <a:cxn ang="0">
                <a:pos x="connsiteX105" y="connsiteY105"/>
              </a:cxn>
              <a:cxn ang="0">
                <a:pos x="connsiteX106" y="connsiteY106"/>
              </a:cxn>
              <a:cxn ang="0">
                <a:pos x="connsiteX107" y="connsiteY107"/>
              </a:cxn>
              <a:cxn ang="0">
                <a:pos x="connsiteX108" y="connsiteY108"/>
              </a:cxn>
              <a:cxn ang="0">
                <a:pos x="connsiteX109" y="connsiteY109"/>
              </a:cxn>
              <a:cxn ang="0">
                <a:pos x="connsiteX110" y="connsiteY110"/>
              </a:cxn>
              <a:cxn ang="0">
                <a:pos x="connsiteX111" y="connsiteY111"/>
              </a:cxn>
              <a:cxn ang="0">
                <a:pos x="connsiteX112" y="connsiteY112"/>
              </a:cxn>
              <a:cxn ang="0">
                <a:pos x="connsiteX113" y="connsiteY113"/>
              </a:cxn>
              <a:cxn ang="0">
                <a:pos x="connsiteX114" y="connsiteY114"/>
              </a:cxn>
              <a:cxn ang="0">
                <a:pos x="connsiteX115" y="connsiteY115"/>
              </a:cxn>
              <a:cxn ang="0">
                <a:pos x="connsiteX116" y="connsiteY116"/>
              </a:cxn>
              <a:cxn ang="0">
                <a:pos x="connsiteX117" y="connsiteY117"/>
              </a:cxn>
              <a:cxn ang="0">
                <a:pos x="connsiteX118" y="connsiteY118"/>
              </a:cxn>
              <a:cxn ang="0">
                <a:pos x="connsiteX119" y="connsiteY119"/>
              </a:cxn>
              <a:cxn ang="0">
                <a:pos x="connsiteX120" y="connsiteY120"/>
              </a:cxn>
              <a:cxn ang="0">
                <a:pos x="connsiteX121" y="connsiteY121"/>
              </a:cxn>
              <a:cxn ang="0">
                <a:pos x="connsiteX122" y="connsiteY122"/>
              </a:cxn>
              <a:cxn ang="0">
                <a:pos x="connsiteX123" y="connsiteY123"/>
              </a:cxn>
              <a:cxn ang="0">
                <a:pos x="connsiteX124" y="connsiteY124"/>
              </a:cxn>
              <a:cxn ang="0">
                <a:pos x="connsiteX125" y="connsiteY125"/>
              </a:cxn>
              <a:cxn ang="0">
                <a:pos x="connsiteX126" y="connsiteY126"/>
              </a:cxn>
              <a:cxn ang="0">
                <a:pos x="connsiteX127" y="connsiteY127"/>
              </a:cxn>
              <a:cxn ang="0">
                <a:pos x="connsiteX128" y="connsiteY128"/>
              </a:cxn>
              <a:cxn ang="0">
                <a:pos x="connsiteX129" y="connsiteY129"/>
              </a:cxn>
              <a:cxn ang="0">
                <a:pos x="connsiteX130" y="connsiteY130"/>
              </a:cxn>
              <a:cxn ang="0">
                <a:pos x="connsiteX131" y="connsiteY131"/>
              </a:cxn>
              <a:cxn ang="0">
                <a:pos x="connsiteX132" y="connsiteY132"/>
              </a:cxn>
              <a:cxn ang="0">
                <a:pos x="connsiteX133" y="connsiteY133"/>
              </a:cxn>
              <a:cxn ang="0">
                <a:pos x="connsiteX134" y="connsiteY134"/>
              </a:cxn>
              <a:cxn ang="0">
                <a:pos x="connsiteX135" y="connsiteY135"/>
              </a:cxn>
              <a:cxn ang="0">
                <a:pos x="connsiteX136" y="connsiteY136"/>
              </a:cxn>
              <a:cxn ang="0">
                <a:pos x="connsiteX137" y="connsiteY137"/>
              </a:cxn>
              <a:cxn ang="0">
                <a:pos x="connsiteX138" y="connsiteY138"/>
              </a:cxn>
              <a:cxn ang="0">
                <a:pos x="connsiteX139" y="connsiteY139"/>
              </a:cxn>
              <a:cxn ang="0">
                <a:pos x="connsiteX140" y="connsiteY140"/>
              </a:cxn>
              <a:cxn ang="0">
                <a:pos x="connsiteX141" y="connsiteY141"/>
              </a:cxn>
              <a:cxn ang="0">
                <a:pos x="connsiteX142" y="connsiteY142"/>
              </a:cxn>
              <a:cxn ang="0">
                <a:pos x="connsiteX143" y="connsiteY143"/>
              </a:cxn>
              <a:cxn ang="0">
                <a:pos x="connsiteX144" y="connsiteY144"/>
              </a:cxn>
              <a:cxn ang="0">
                <a:pos x="connsiteX145" y="connsiteY145"/>
              </a:cxn>
              <a:cxn ang="0">
                <a:pos x="connsiteX146" y="connsiteY146"/>
              </a:cxn>
              <a:cxn ang="0">
                <a:pos x="connsiteX147" y="connsiteY147"/>
              </a:cxn>
              <a:cxn ang="0">
                <a:pos x="connsiteX148" y="connsiteY148"/>
              </a:cxn>
              <a:cxn ang="0">
                <a:pos x="connsiteX149" y="connsiteY149"/>
              </a:cxn>
              <a:cxn ang="0">
                <a:pos x="connsiteX150" y="connsiteY150"/>
              </a:cxn>
              <a:cxn ang="0">
                <a:pos x="connsiteX151" y="connsiteY151"/>
              </a:cxn>
              <a:cxn ang="0">
                <a:pos x="connsiteX152" y="connsiteY152"/>
              </a:cxn>
              <a:cxn ang="0">
                <a:pos x="connsiteX153" y="connsiteY153"/>
              </a:cxn>
              <a:cxn ang="0">
                <a:pos x="connsiteX154" y="connsiteY154"/>
              </a:cxn>
              <a:cxn ang="0">
                <a:pos x="connsiteX155" y="connsiteY155"/>
              </a:cxn>
              <a:cxn ang="0">
                <a:pos x="connsiteX156" y="connsiteY156"/>
              </a:cxn>
              <a:cxn ang="0">
                <a:pos x="connsiteX157" y="connsiteY157"/>
              </a:cxn>
              <a:cxn ang="0">
                <a:pos x="connsiteX158" y="connsiteY158"/>
              </a:cxn>
              <a:cxn ang="0">
                <a:pos x="connsiteX159" y="connsiteY159"/>
              </a:cxn>
              <a:cxn ang="0">
                <a:pos x="connsiteX160" y="connsiteY160"/>
              </a:cxn>
              <a:cxn ang="0">
                <a:pos x="connsiteX161" y="connsiteY161"/>
              </a:cxn>
              <a:cxn ang="0">
                <a:pos x="connsiteX162" y="connsiteY162"/>
              </a:cxn>
              <a:cxn ang="0">
                <a:pos x="connsiteX163" y="connsiteY163"/>
              </a:cxn>
              <a:cxn ang="0">
                <a:pos x="connsiteX164" y="connsiteY164"/>
              </a:cxn>
              <a:cxn ang="0">
                <a:pos x="connsiteX165" y="connsiteY165"/>
              </a:cxn>
              <a:cxn ang="0">
                <a:pos x="connsiteX166" y="connsiteY166"/>
              </a:cxn>
              <a:cxn ang="0">
                <a:pos x="connsiteX167" y="connsiteY167"/>
              </a:cxn>
              <a:cxn ang="0">
                <a:pos x="connsiteX168" y="connsiteY168"/>
              </a:cxn>
              <a:cxn ang="0">
                <a:pos x="connsiteX169" y="connsiteY169"/>
              </a:cxn>
              <a:cxn ang="0">
                <a:pos x="connsiteX170" y="connsiteY170"/>
              </a:cxn>
              <a:cxn ang="0">
                <a:pos x="connsiteX171" y="connsiteY171"/>
              </a:cxn>
              <a:cxn ang="0">
                <a:pos x="connsiteX172" y="connsiteY172"/>
              </a:cxn>
              <a:cxn ang="0">
                <a:pos x="connsiteX173" y="connsiteY173"/>
              </a:cxn>
              <a:cxn ang="0">
                <a:pos x="connsiteX174" y="connsiteY174"/>
              </a:cxn>
              <a:cxn ang="0">
                <a:pos x="connsiteX175" y="connsiteY175"/>
              </a:cxn>
              <a:cxn ang="0">
                <a:pos x="connsiteX176" y="connsiteY176"/>
              </a:cxn>
              <a:cxn ang="0">
                <a:pos x="connsiteX177" y="connsiteY177"/>
              </a:cxn>
              <a:cxn ang="0">
                <a:pos x="connsiteX178" y="connsiteY178"/>
              </a:cxn>
              <a:cxn ang="0">
                <a:pos x="connsiteX179" y="connsiteY179"/>
              </a:cxn>
              <a:cxn ang="0">
                <a:pos x="connsiteX180" y="connsiteY180"/>
              </a:cxn>
              <a:cxn ang="0">
                <a:pos x="connsiteX181" y="connsiteY181"/>
              </a:cxn>
              <a:cxn ang="0">
                <a:pos x="connsiteX182" y="connsiteY182"/>
              </a:cxn>
              <a:cxn ang="0">
                <a:pos x="connsiteX183" y="connsiteY183"/>
              </a:cxn>
              <a:cxn ang="0">
                <a:pos x="connsiteX184" y="connsiteY184"/>
              </a:cxn>
              <a:cxn ang="0">
                <a:pos x="connsiteX185" y="connsiteY185"/>
              </a:cxn>
              <a:cxn ang="0">
                <a:pos x="connsiteX186" y="connsiteY186"/>
              </a:cxn>
              <a:cxn ang="0">
                <a:pos x="connsiteX187" y="connsiteY187"/>
              </a:cxn>
              <a:cxn ang="0">
                <a:pos x="connsiteX188" y="connsiteY188"/>
              </a:cxn>
              <a:cxn ang="0">
                <a:pos x="connsiteX189" y="connsiteY189"/>
              </a:cxn>
              <a:cxn ang="0">
                <a:pos x="connsiteX190" y="connsiteY190"/>
              </a:cxn>
              <a:cxn ang="0">
                <a:pos x="connsiteX191" y="connsiteY191"/>
              </a:cxn>
              <a:cxn ang="0">
                <a:pos x="connsiteX192" y="connsiteY192"/>
              </a:cxn>
              <a:cxn ang="0">
                <a:pos x="connsiteX193" y="connsiteY193"/>
              </a:cxn>
              <a:cxn ang="0">
                <a:pos x="connsiteX194" y="connsiteY194"/>
              </a:cxn>
              <a:cxn ang="0">
                <a:pos x="connsiteX195" y="connsiteY195"/>
              </a:cxn>
              <a:cxn ang="0">
                <a:pos x="connsiteX196" y="connsiteY196"/>
              </a:cxn>
              <a:cxn ang="0">
                <a:pos x="connsiteX197" y="connsiteY197"/>
              </a:cxn>
              <a:cxn ang="0">
                <a:pos x="connsiteX198" y="connsiteY198"/>
              </a:cxn>
              <a:cxn ang="0">
                <a:pos x="connsiteX199" y="connsiteY199"/>
              </a:cxn>
              <a:cxn ang="0">
                <a:pos x="connsiteX200" y="connsiteY200"/>
              </a:cxn>
              <a:cxn ang="0">
                <a:pos x="connsiteX201" y="connsiteY201"/>
              </a:cxn>
              <a:cxn ang="0">
                <a:pos x="connsiteX202" y="connsiteY202"/>
              </a:cxn>
              <a:cxn ang="0">
                <a:pos x="connsiteX203" y="connsiteY203"/>
              </a:cxn>
              <a:cxn ang="0">
                <a:pos x="connsiteX204" y="connsiteY204"/>
              </a:cxn>
              <a:cxn ang="0">
                <a:pos x="connsiteX205" y="connsiteY205"/>
              </a:cxn>
              <a:cxn ang="0">
                <a:pos x="connsiteX206" y="connsiteY206"/>
              </a:cxn>
              <a:cxn ang="0">
                <a:pos x="connsiteX207" y="connsiteY207"/>
              </a:cxn>
              <a:cxn ang="0">
                <a:pos x="connsiteX208" y="connsiteY208"/>
              </a:cxn>
              <a:cxn ang="0">
                <a:pos x="connsiteX209" y="connsiteY209"/>
              </a:cxn>
              <a:cxn ang="0">
                <a:pos x="connsiteX210" y="connsiteY210"/>
              </a:cxn>
              <a:cxn ang="0">
                <a:pos x="connsiteX211" y="connsiteY211"/>
              </a:cxn>
              <a:cxn ang="0">
                <a:pos x="connsiteX212" y="connsiteY212"/>
              </a:cxn>
              <a:cxn ang="0">
                <a:pos x="connsiteX213" y="connsiteY213"/>
              </a:cxn>
              <a:cxn ang="0">
                <a:pos x="connsiteX214" y="connsiteY214"/>
              </a:cxn>
              <a:cxn ang="0">
                <a:pos x="connsiteX215" y="connsiteY215"/>
              </a:cxn>
              <a:cxn ang="0">
                <a:pos x="connsiteX216" y="connsiteY216"/>
              </a:cxn>
              <a:cxn ang="0">
                <a:pos x="connsiteX217" y="connsiteY217"/>
              </a:cxn>
              <a:cxn ang="0">
                <a:pos x="connsiteX218" y="connsiteY218"/>
              </a:cxn>
              <a:cxn ang="0">
                <a:pos x="connsiteX219" y="connsiteY219"/>
              </a:cxn>
              <a:cxn ang="0">
                <a:pos x="connsiteX220" y="connsiteY220"/>
              </a:cxn>
              <a:cxn ang="0">
                <a:pos x="connsiteX221" y="connsiteY221"/>
              </a:cxn>
              <a:cxn ang="0">
                <a:pos x="connsiteX222" y="connsiteY222"/>
              </a:cxn>
              <a:cxn ang="0">
                <a:pos x="connsiteX223" y="connsiteY223"/>
              </a:cxn>
              <a:cxn ang="0">
                <a:pos x="connsiteX224" y="connsiteY224"/>
              </a:cxn>
              <a:cxn ang="0">
                <a:pos x="connsiteX225" y="connsiteY225"/>
              </a:cxn>
              <a:cxn ang="0">
                <a:pos x="connsiteX226" y="connsiteY226"/>
              </a:cxn>
              <a:cxn ang="0">
                <a:pos x="connsiteX227" y="connsiteY227"/>
              </a:cxn>
              <a:cxn ang="0">
                <a:pos x="connsiteX228" y="connsiteY228"/>
              </a:cxn>
              <a:cxn ang="0">
                <a:pos x="connsiteX229" y="connsiteY229"/>
              </a:cxn>
              <a:cxn ang="0">
                <a:pos x="connsiteX230" y="connsiteY230"/>
              </a:cxn>
              <a:cxn ang="0">
                <a:pos x="connsiteX231" y="connsiteY231"/>
              </a:cxn>
              <a:cxn ang="0">
                <a:pos x="connsiteX232" y="connsiteY232"/>
              </a:cxn>
              <a:cxn ang="0">
                <a:pos x="connsiteX233" y="connsiteY233"/>
              </a:cxn>
              <a:cxn ang="0">
                <a:pos x="connsiteX234" y="connsiteY234"/>
              </a:cxn>
              <a:cxn ang="0">
                <a:pos x="connsiteX235" y="connsiteY235"/>
              </a:cxn>
            </a:cxnLst>
            <a:rect l="l" t="t" r="r" b="b"/>
            <a:pathLst>
              <a:path w="1254402" h="91439">
                <a:moveTo>
                  <a:pt x="70834" y="31553"/>
                </a:moveTo>
                <a:cubicBezTo>
                  <a:pt x="70834" y="45076"/>
                  <a:pt x="61175" y="53447"/>
                  <a:pt x="47652" y="53447"/>
                </a:cubicBezTo>
                <a:lnTo>
                  <a:pt x="15455" y="53447"/>
                </a:lnTo>
                <a:lnTo>
                  <a:pt x="15455" y="69546"/>
                </a:lnTo>
                <a:lnTo>
                  <a:pt x="0" y="69546"/>
                </a:lnTo>
                <a:lnTo>
                  <a:pt x="0" y="9015"/>
                </a:lnTo>
                <a:lnTo>
                  <a:pt x="47652" y="9015"/>
                </a:lnTo>
                <a:cubicBezTo>
                  <a:pt x="61175" y="9659"/>
                  <a:pt x="70834" y="18030"/>
                  <a:pt x="70834" y="31553"/>
                </a:cubicBezTo>
                <a:close/>
                <a:moveTo>
                  <a:pt x="55379" y="31553"/>
                </a:moveTo>
                <a:cubicBezTo>
                  <a:pt x="55379" y="22538"/>
                  <a:pt x="48296" y="22538"/>
                  <a:pt x="43788" y="22538"/>
                </a:cubicBezTo>
                <a:lnTo>
                  <a:pt x="16099" y="22538"/>
                </a:lnTo>
                <a:lnTo>
                  <a:pt x="16099" y="40568"/>
                </a:lnTo>
                <a:lnTo>
                  <a:pt x="43144" y="40568"/>
                </a:lnTo>
                <a:cubicBezTo>
                  <a:pt x="48296" y="40568"/>
                  <a:pt x="55379" y="40568"/>
                  <a:pt x="55379" y="31553"/>
                </a:cubicBezTo>
                <a:close/>
                <a:moveTo>
                  <a:pt x="79849" y="44432"/>
                </a:moveTo>
                <a:cubicBezTo>
                  <a:pt x="79849" y="25758"/>
                  <a:pt x="94016" y="18030"/>
                  <a:pt x="115266" y="18030"/>
                </a:cubicBezTo>
                <a:cubicBezTo>
                  <a:pt x="136516" y="18030"/>
                  <a:pt x="150683" y="25758"/>
                  <a:pt x="150683" y="44432"/>
                </a:cubicBezTo>
                <a:cubicBezTo>
                  <a:pt x="150683" y="63106"/>
                  <a:pt x="136516" y="70834"/>
                  <a:pt x="115266" y="70834"/>
                </a:cubicBezTo>
                <a:cubicBezTo>
                  <a:pt x="94016" y="70834"/>
                  <a:pt x="79849" y="63106"/>
                  <a:pt x="79849" y="44432"/>
                </a:cubicBezTo>
                <a:close/>
                <a:moveTo>
                  <a:pt x="135228" y="44432"/>
                </a:moveTo>
                <a:cubicBezTo>
                  <a:pt x="135228" y="34129"/>
                  <a:pt x="128789" y="30265"/>
                  <a:pt x="114622" y="30265"/>
                </a:cubicBezTo>
                <a:cubicBezTo>
                  <a:pt x="101099" y="30265"/>
                  <a:pt x="94016" y="33485"/>
                  <a:pt x="94016" y="44432"/>
                </a:cubicBezTo>
                <a:cubicBezTo>
                  <a:pt x="94016" y="54735"/>
                  <a:pt x="100455" y="58599"/>
                  <a:pt x="114622" y="58599"/>
                </a:cubicBezTo>
                <a:cubicBezTo>
                  <a:pt x="128789" y="58599"/>
                  <a:pt x="135228" y="54735"/>
                  <a:pt x="135228" y="44432"/>
                </a:cubicBezTo>
                <a:close/>
                <a:moveTo>
                  <a:pt x="173221" y="52159"/>
                </a:moveTo>
                <a:cubicBezTo>
                  <a:pt x="173221" y="57311"/>
                  <a:pt x="179016" y="59887"/>
                  <a:pt x="195115" y="59887"/>
                </a:cubicBezTo>
                <a:cubicBezTo>
                  <a:pt x="211214" y="59887"/>
                  <a:pt x="213789" y="58599"/>
                  <a:pt x="213789" y="54735"/>
                </a:cubicBezTo>
                <a:cubicBezTo>
                  <a:pt x="213789" y="50872"/>
                  <a:pt x="211214" y="50872"/>
                  <a:pt x="193827" y="49584"/>
                </a:cubicBezTo>
                <a:cubicBezTo>
                  <a:pt x="171289" y="48296"/>
                  <a:pt x="160342" y="46364"/>
                  <a:pt x="160342" y="34129"/>
                </a:cubicBezTo>
                <a:cubicBezTo>
                  <a:pt x="160342" y="20606"/>
                  <a:pt x="175797" y="18674"/>
                  <a:pt x="193827" y="18674"/>
                </a:cubicBezTo>
                <a:cubicBezTo>
                  <a:pt x="213145" y="18674"/>
                  <a:pt x="226668" y="21250"/>
                  <a:pt x="226668" y="35417"/>
                </a:cubicBezTo>
                <a:lnTo>
                  <a:pt x="211857" y="35417"/>
                </a:lnTo>
                <a:cubicBezTo>
                  <a:pt x="211857" y="30909"/>
                  <a:pt x="206706" y="30265"/>
                  <a:pt x="192539" y="30265"/>
                </a:cubicBezTo>
                <a:cubicBezTo>
                  <a:pt x="178372" y="30265"/>
                  <a:pt x="174509" y="31553"/>
                  <a:pt x="174509" y="34129"/>
                </a:cubicBezTo>
                <a:cubicBezTo>
                  <a:pt x="174509" y="37349"/>
                  <a:pt x="177085" y="37993"/>
                  <a:pt x="194471" y="39281"/>
                </a:cubicBezTo>
                <a:cubicBezTo>
                  <a:pt x="214433" y="40568"/>
                  <a:pt x="227956" y="41212"/>
                  <a:pt x="227956" y="54735"/>
                </a:cubicBezTo>
                <a:cubicBezTo>
                  <a:pt x="227956" y="68902"/>
                  <a:pt x="215077" y="71478"/>
                  <a:pt x="195759" y="71478"/>
                </a:cubicBezTo>
                <a:cubicBezTo>
                  <a:pt x="176441" y="71478"/>
                  <a:pt x="158410" y="68902"/>
                  <a:pt x="158410" y="52803"/>
                </a:cubicBezTo>
                <a:lnTo>
                  <a:pt x="173221" y="52803"/>
                </a:lnTo>
                <a:close/>
                <a:moveTo>
                  <a:pt x="254358" y="644"/>
                </a:moveTo>
                <a:lnTo>
                  <a:pt x="254358" y="13523"/>
                </a:lnTo>
                <a:lnTo>
                  <a:pt x="239547" y="13523"/>
                </a:lnTo>
                <a:lnTo>
                  <a:pt x="239547" y="644"/>
                </a:lnTo>
                <a:lnTo>
                  <a:pt x="254358" y="644"/>
                </a:lnTo>
                <a:close/>
                <a:moveTo>
                  <a:pt x="254358" y="19318"/>
                </a:moveTo>
                <a:lnTo>
                  <a:pt x="254358" y="70190"/>
                </a:lnTo>
                <a:lnTo>
                  <a:pt x="239547" y="70190"/>
                </a:lnTo>
                <a:lnTo>
                  <a:pt x="239547" y="19318"/>
                </a:lnTo>
                <a:lnTo>
                  <a:pt x="254358" y="19318"/>
                </a:lnTo>
                <a:close/>
                <a:moveTo>
                  <a:pt x="292994" y="31553"/>
                </a:moveTo>
                <a:lnTo>
                  <a:pt x="292994" y="46364"/>
                </a:lnTo>
                <a:cubicBezTo>
                  <a:pt x="292994" y="56023"/>
                  <a:pt x="294926" y="58599"/>
                  <a:pt x="303941" y="58599"/>
                </a:cubicBezTo>
                <a:cubicBezTo>
                  <a:pt x="308449" y="58599"/>
                  <a:pt x="311025" y="58599"/>
                  <a:pt x="316820" y="57955"/>
                </a:cubicBezTo>
                <a:lnTo>
                  <a:pt x="316820" y="69546"/>
                </a:lnTo>
                <a:cubicBezTo>
                  <a:pt x="311669" y="70190"/>
                  <a:pt x="306517" y="70834"/>
                  <a:pt x="299434" y="70834"/>
                </a:cubicBezTo>
                <a:cubicBezTo>
                  <a:pt x="286555" y="70834"/>
                  <a:pt x="278184" y="65682"/>
                  <a:pt x="278184" y="54735"/>
                </a:cubicBezTo>
                <a:lnTo>
                  <a:pt x="278184" y="31553"/>
                </a:lnTo>
                <a:lnTo>
                  <a:pt x="264661" y="31553"/>
                </a:lnTo>
                <a:lnTo>
                  <a:pt x="264661" y="19318"/>
                </a:lnTo>
                <a:lnTo>
                  <a:pt x="278184" y="19318"/>
                </a:lnTo>
                <a:lnTo>
                  <a:pt x="278184" y="9015"/>
                </a:lnTo>
                <a:lnTo>
                  <a:pt x="292994" y="4508"/>
                </a:lnTo>
                <a:lnTo>
                  <a:pt x="292994" y="19318"/>
                </a:lnTo>
                <a:lnTo>
                  <a:pt x="316820" y="19318"/>
                </a:lnTo>
                <a:lnTo>
                  <a:pt x="316820" y="31553"/>
                </a:lnTo>
                <a:lnTo>
                  <a:pt x="292994" y="31553"/>
                </a:lnTo>
                <a:close/>
                <a:moveTo>
                  <a:pt x="342578" y="644"/>
                </a:moveTo>
                <a:lnTo>
                  <a:pt x="342578" y="13523"/>
                </a:lnTo>
                <a:lnTo>
                  <a:pt x="327767" y="13523"/>
                </a:lnTo>
                <a:lnTo>
                  <a:pt x="327767" y="644"/>
                </a:lnTo>
                <a:lnTo>
                  <a:pt x="342578" y="644"/>
                </a:lnTo>
                <a:close/>
                <a:moveTo>
                  <a:pt x="342578" y="19318"/>
                </a:moveTo>
                <a:lnTo>
                  <a:pt x="342578" y="70190"/>
                </a:lnTo>
                <a:lnTo>
                  <a:pt x="327767" y="70190"/>
                </a:lnTo>
                <a:lnTo>
                  <a:pt x="327767" y="19318"/>
                </a:lnTo>
                <a:lnTo>
                  <a:pt x="342578" y="19318"/>
                </a:lnTo>
                <a:close/>
                <a:moveTo>
                  <a:pt x="424359" y="19318"/>
                </a:moveTo>
                <a:lnTo>
                  <a:pt x="398601" y="70190"/>
                </a:lnTo>
                <a:lnTo>
                  <a:pt x="377995" y="70190"/>
                </a:lnTo>
                <a:lnTo>
                  <a:pt x="352237" y="19318"/>
                </a:lnTo>
                <a:lnTo>
                  <a:pt x="368336" y="19318"/>
                </a:lnTo>
                <a:lnTo>
                  <a:pt x="388298" y="59887"/>
                </a:lnTo>
                <a:lnTo>
                  <a:pt x="408260" y="19318"/>
                </a:lnTo>
                <a:lnTo>
                  <a:pt x="424359" y="19318"/>
                </a:lnTo>
                <a:close/>
                <a:moveTo>
                  <a:pt x="481670" y="51515"/>
                </a:moveTo>
                <a:lnTo>
                  <a:pt x="496481" y="51515"/>
                </a:lnTo>
                <a:cubicBezTo>
                  <a:pt x="493261" y="64394"/>
                  <a:pt x="480382" y="70834"/>
                  <a:pt x="461708" y="70834"/>
                </a:cubicBezTo>
                <a:cubicBezTo>
                  <a:pt x="442389" y="70834"/>
                  <a:pt x="427579" y="63106"/>
                  <a:pt x="427579" y="44432"/>
                </a:cubicBezTo>
                <a:cubicBezTo>
                  <a:pt x="427579" y="25758"/>
                  <a:pt x="442389" y="18030"/>
                  <a:pt x="462995" y="18030"/>
                </a:cubicBezTo>
                <a:cubicBezTo>
                  <a:pt x="482314" y="18030"/>
                  <a:pt x="497768" y="24470"/>
                  <a:pt x="497768" y="47652"/>
                </a:cubicBezTo>
                <a:lnTo>
                  <a:pt x="442389" y="47652"/>
                </a:lnTo>
                <a:cubicBezTo>
                  <a:pt x="444321" y="56023"/>
                  <a:pt x="452048" y="58599"/>
                  <a:pt x="461708" y="58599"/>
                </a:cubicBezTo>
                <a:cubicBezTo>
                  <a:pt x="471367" y="58599"/>
                  <a:pt x="477806" y="56667"/>
                  <a:pt x="481670" y="51515"/>
                </a:cubicBezTo>
                <a:close/>
                <a:moveTo>
                  <a:pt x="442389" y="38637"/>
                </a:moveTo>
                <a:lnTo>
                  <a:pt x="481026" y="38637"/>
                </a:lnTo>
                <a:cubicBezTo>
                  <a:pt x="478450" y="31553"/>
                  <a:pt x="471367" y="29621"/>
                  <a:pt x="461708" y="29621"/>
                </a:cubicBezTo>
                <a:cubicBezTo>
                  <a:pt x="452048" y="29621"/>
                  <a:pt x="444965" y="31553"/>
                  <a:pt x="442389" y="38637"/>
                </a:cubicBezTo>
                <a:close/>
                <a:moveTo>
                  <a:pt x="622694" y="644"/>
                </a:moveTo>
                <a:lnTo>
                  <a:pt x="622694" y="69546"/>
                </a:lnTo>
                <a:lnTo>
                  <a:pt x="607883" y="69546"/>
                </a:lnTo>
                <a:lnTo>
                  <a:pt x="607883" y="61819"/>
                </a:lnTo>
                <a:cubicBezTo>
                  <a:pt x="602087" y="67614"/>
                  <a:pt x="593716" y="70834"/>
                  <a:pt x="582769" y="70834"/>
                </a:cubicBezTo>
                <a:cubicBezTo>
                  <a:pt x="566670" y="70834"/>
                  <a:pt x="552504" y="63750"/>
                  <a:pt x="552504" y="44432"/>
                </a:cubicBezTo>
                <a:cubicBezTo>
                  <a:pt x="552504" y="25114"/>
                  <a:pt x="566670" y="18030"/>
                  <a:pt x="582769" y="18030"/>
                </a:cubicBezTo>
                <a:cubicBezTo>
                  <a:pt x="593716" y="18030"/>
                  <a:pt x="602731" y="21250"/>
                  <a:pt x="607883" y="27046"/>
                </a:cubicBezTo>
                <a:lnTo>
                  <a:pt x="607883" y="644"/>
                </a:lnTo>
                <a:lnTo>
                  <a:pt x="622694" y="644"/>
                </a:lnTo>
                <a:close/>
                <a:moveTo>
                  <a:pt x="607883" y="44432"/>
                </a:moveTo>
                <a:cubicBezTo>
                  <a:pt x="607883" y="34129"/>
                  <a:pt x="600800" y="30265"/>
                  <a:pt x="587277" y="30265"/>
                </a:cubicBezTo>
                <a:cubicBezTo>
                  <a:pt x="574398" y="30265"/>
                  <a:pt x="566670" y="34129"/>
                  <a:pt x="566670" y="44432"/>
                </a:cubicBezTo>
                <a:cubicBezTo>
                  <a:pt x="566670" y="54735"/>
                  <a:pt x="573754" y="58599"/>
                  <a:pt x="587277" y="58599"/>
                </a:cubicBezTo>
                <a:cubicBezTo>
                  <a:pt x="600800" y="58599"/>
                  <a:pt x="607883" y="54735"/>
                  <a:pt x="607883" y="44432"/>
                </a:cubicBezTo>
                <a:close/>
                <a:moveTo>
                  <a:pt x="649739" y="644"/>
                </a:moveTo>
                <a:lnTo>
                  <a:pt x="649739" y="13523"/>
                </a:lnTo>
                <a:lnTo>
                  <a:pt x="634928" y="13523"/>
                </a:lnTo>
                <a:lnTo>
                  <a:pt x="634928" y="644"/>
                </a:lnTo>
                <a:lnTo>
                  <a:pt x="649739" y="644"/>
                </a:lnTo>
                <a:close/>
                <a:moveTo>
                  <a:pt x="649739" y="19318"/>
                </a:moveTo>
                <a:lnTo>
                  <a:pt x="649739" y="70190"/>
                </a:lnTo>
                <a:lnTo>
                  <a:pt x="634928" y="70190"/>
                </a:lnTo>
                <a:lnTo>
                  <a:pt x="634928" y="19318"/>
                </a:lnTo>
                <a:lnTo>
                  <a:pt x="649739" y="19318"/>
                </a:lnTo>
                <a:close/>
                <a:moveTo>
                  <a:pt x="730876" y="19318"/>
                </a:moveTo>
                <a:lnTo>
                  <a:pt x="730876" y="61819"/>
                </a:lnTo>
                <a:cubicBezTo>
                  <a:pt x="730876" y="82425"/>
                  <a:pt x="716709" y="91440"/>
                  <a:pt x="698035" y="91440"/>
                </a:cubicBezTo>
                <a:cubicBezTo>
                  <a:pt x="683224" y="91440"/>
                  <a:pt x="670989" y="88864"/>
                  <a:pt x="666482" y="87576"/>
                </a:cubicBezTo>
                <a:lnTo>
                  <a:pt x="666482" y="75985"/>
                </a:lnTo>
                <a:cubicBezTo>
                  <a:pt x="672277" y="77273"/>
                  <a:pt x="683868" y="79849"/>
                  <a:pt x="694815" y="79849"/>
                </a:cubicBezTo>
                <a:cubicBezTo>
                  <a:pt x="710270" y="79849"/>
                  <a:pt x="716065" y="74053"/>
                  <a:pt x="716065" y="61175"/>
                </a:cubicBezTo>
                <a:cubicBezTo>
                  <a:pt x="710914" y="66970"/>
                  <a:pt x="702543" y="70190"/>
                  <a:pt x="690308" y="70190"/>
                </a:cubicBezTo>
                <a:cubicBezTo>
                  <a:pt x="672921" y="70190"/>
                  <a:pt x="660686" y="62463"/>
                  <a:pt x="660686" y="44432"/>
                </a:cubicBezTo>
                <a:cubicBezTo>
                  <a:pt x="660686" y="26402"/>
                  <a:pt x="672921" y="18674"/>
                  <a:pt x="690308" y="18674"/>
                </a:cubicBezTo>
                <a:cubicBezTo>
                  <a:pt x="702543" y="18674"/>
                  <a:pt x="710914" y="21894"/>
                  <a:pt x="716065" y="27690"/>
                </a:cubicBezTo>
                <a:lnTo>
                  <a:pt x="716065" y="19318"/>
                </a:lnTo>
                <a:lnTo>
                  <a:pt x="730876" y="19318"/>
                </a:lnTo>
                <a:close/>
                <a:moveTo>
                  <a:pt x="715421" y="43788"/>
                </a:moveTo>
                <a:cubicBezTo>
                  <a:pt x="715421" y="34773"/>
                  <a:pt x="708982" y="30909"/>
                  <a:pt x="694815" y="30909"/>
                </a:cubicBezTo>
                <a:cubicBezTo>
                  <a:pt x="680648" y="30909"/>
                  <a:pt x="674209" y="34773"/>
                  <a:pt x="674209" y="43788"/>
                </a:cubicBezTo>
                <a:cubicBezTo>
                  <a:pt x="674209" y="52803"/>
                  <a:pt x="680648" y="56667"/>
                  <a:pt x="694815" y="56667"/>
                </a:cubicBezTo>
                <a:cubicBezTo>
                  <a:pt x="708982" y="56667"/>
                  <a:pt x="715421" y="52803"/>
                  <a:pt x="715421" y="43788"/>
                </a:cubicBezTo>
                <a:close/>
                <a:moveTo>
                  <a:pt x="757278" y="644"/>
                </a:moveTo>
                <a:lnTo>
                  <a:pt x="757278" y="13523"/>
                </a:lnTo>
                <a:lnTo>
                  <a:pt x="742467" y="13523"/>
                </a:lnTo>
                <a:lnTo>
                  <a:pt x="742467" y="644"/>
                </a:lnTo>
                <a:lnTo>
                  <a:pt x="757278" y="644"/>
                </a:lnTo>
                <a:close/>
                <a:moveTo>
                  <a:pt x="757278" y="19318"/>
                </a:moveTo>
                <a:lnTo>
                  <a:pt x="757278" y="70190"/>
                </a:lnTo>
                <a:lnTo>
                  <a:pt x="742467" y="70190"/>
                </a:lnTo>
                <a:lnTo>
                  <a:pt x="742467" y="19318"/>
                </a:lnTo>
                <a:lnTo>
                  <a:pt x="757278" y="19318"/>
                </a:lnTo>
                <a:close/>
                <a:moveTo>
                  <a:pt x="795914" y="31553"/>
                </a:moveTo>
                <a:lnTo>
                  <a:pt x="795914" y="46364"/>
                </a:lnTo>
                <a:cubicBezTo>
                  <a:pt x="795914" y="56023"/>
                  <a:pt x="797846" y="58599"/>
                  <a:pt x="806861" y="58599"/>
                </a:cubicBezTo>
                <a:cubicBezTo>
                  <a:pt x="811369" y="58599"/>
                  <a:pt x="813945" y="58599"/>
                  <a:pt x="819740" y="57955"/>
                </a:cubicBezTo>
                <a:lnTo>
                  <a:pt x="819740" y="69546"/>
                </a:lnTo>
                <a:cubicBezTo>
                  <a:pt x="814589" y="70190"/>
                  <a:pt x="809437" y="70834"/>
                  <a:pt x="802354" y="70834"/>
                </a:cubicBezTo>
                <a:cubicBezTo>
                  <a:pt x="789475" y="70834"/>
                  <a:pt x="781104" y="65682"/>
                  <a:pt x="781104" y="54735"/>
                </a:cubicBezTo>
                <a:lnTo>
                  <a:pt x="781104" y="31553"/>
                </a:lnTo>
                <a:lnTo>
                  <a:pt x="767581" y="31553"/>
                </a:lnTo>
                <a:lnTo>
                  <a:pt x="767581" y="19318"/>
                </a:lnTo>
                <a:lnTo>
                  <a:pt x="781104" y="19318"/>
                </a:lnTo>
                <a:lnTo>
                  <a:pt x="781104" y="9015"/>
                </a:lnTo>
                <a:lnTo>
                  <a:pt x="795914" y="4508"/>
                </a:lnTo>
                <a:lnTo>
                  <a:pt x="795914" y="19318"/>
                </a:lnTo>
                <a:lnTo>
                  <a:pt x="819740" y="19318"/>
                </a:lnTo>
                <a:lnTo>
                  <a:pt x="819740" y="31553"/>
                </a:lnTo>
                <a:lnTo>
                  <a:pt x="795914" y="31553"/>
                </a:lnTo>
                <a:close/>
                <a:moveTo>
                  <a:pt x="898301" y="44432"/>
                </a:moveTo>
                <a:lnTo>
                  <a:pt x="898301" y="70190"/>
                </a:lnTo>
                <a:lnTo>
                  <a:pt x="883491" y="70190"/>
                </a:lnTo>
                <a:lnTo>
                  <a:pt x="883491" y="63750"/>
                </a:lnTo>
                <a:cubicBezTo>
                  <a:pt x="874476" y="68258"/>
                  <a:pt x="864816" y="70834"/>
                  <a:pt x="852581" y="70834"/>
                </a:cubicBezTo>
                <a:cubicBezTo>
                  <a:pt x="838415" y="70834"/>
                  <a:pt x="829400" y="66326"/>
                  <a:pt x="829400" y="54735"/>
                </a:cubicBezTo>
                <a:cubicBezTo>
                  <a:pt x="829400" y="41856"/>
                  <a:pt x="843566" y="37349"/>
                  <a:pt x="860309" y="37349"/>
                </a:cubicBezTo>
                <a:cubicBezTo>
                  <a:pt x="869324" y="37349"/>
                  <a:pt x="877051" y="38637"/>
                  <a:pt x="883491" y="41212"/>
                </a:cubicBezTo>
                <a:cubicBezTo>
                  <a:pt x="883491" y="31553"/>
                  <a:pt x="871256" y="30909"/>
                  <a:pt x="864172" y="30909"/>
                </a:cubicBezTo>
                <a:cubicBezTo>
                  <a:pt x="857733" y="30909"/>
                  <a:pt x="849362" y="31553"/>
                  <a:pt x="839059" y="34773"/>
                </a:cubicBezTo>
                <a:lnTo>
                  <a:pt x="833907" y="23826"/>
                </a:lnTo>
                <a:cubicBezTo>
                  <a:pt x="844210" y="20606"/>
                  <a:pt x="854513" y="18674"/>
                  <a:pt x="864816" y="18674"/>
                </a:cubicBezTo>
                <a:cubicBezTo>
                  <a:pt x="886066" y="18030"/>
                  <a:pt x="898301" y="25114"/>
                  <a:pt x="898301" y="44432"/>
                </a:cubicBezTo>
                <a:close/>
                <a:moveTo>
                  <a:pt x="883491" y="50228"/>
                </a:moveTo>
                <a:cubicBezTo>
                  <a:pt x="878339" y="48296"/>
                  <a:pt x="871256" y="47008"/>
                  <a:pt x="862241" y="47008"/>
                </a:cubicBezTo>
                <a:cubicBezTo>
                  <a:pt x="851294" y="47008"/>
                  <a:pt x="844854" y="48940"/>
                  <a:pt x="844854" y="54091"/>
                </a:cubicBezTo>
                <a:cubicBezTo>
                  <a:pt x="844854" y="59243"/>
                  <a:pt x="850006" y="59887"/>
                  <a:pt x="857733" y="59887"/>
                </a:cubicBezTo>
                <a:cubicBezTo>
                  <a:pt x="865460" y="59887"/>
                  <a:pt x="877051" y="57311"/>
                  <a:pt x="884135" y="54091"/>
                </a:cubicBezTo>
                <a:lnTo>
                  <a:pt x="884135" y="50228"/>
                </a:lnTo>
                <a:close/>
                <a:moveTo>
                  <a:pt x="925347" y="644"/>
                </a:moveTo>
                <a:lnTo>
                  <a:pt x="925347" y="69546"/>
                </a:lnTo>
                <a:lnTo>
                  <a:pt x="910536" y="69546"/>
                </a:lnTo>
                <a:lnTo>
                  <a:pt x="910536" y="644"/>
                </a:lnTo>
                <a:lnTo>
                  <a:pt x="925347" y="644"/>
                </a:lnTo>
                <a:close/>
                <a:moveTo>
                  <a:pt x="1009704" y="19318"/>
                </a:moveTo>
                <a:lnTo>
                  <a:pt x="1030954" y="19318"/>
                </a:lnTo>
                <a:lnTo>
                  <a:pt x="1030954" y="31553"/>
                </a:lnTo>
                <a:lnTo>
                  <a:pt x="1009704" y="31553"/>
                </a:lnTo>
                <a:lnTo>
                  <a:pt x="1009704" y="70190"/>
                </a:lnTo>
                <a:lnTo>
                  <a:pt x="994893" y="70190"/>
                </a:lnTo>
                <a:lnTo>
                  <a:pt x="994893" y="31553"/>
                </a:lnTo>
                <a:lnTo>
                  <a:pt x="981370" y="31553"/>
                </a:lnTo>
                <a:lnTo>
                  <a:pt x="981370" y="19318"/>
                </a:lnTo>
                <a:lnTo>
                  <a:pt x="994893" y="19318"/>
                </a:lnTo>
                <a:lnTo>
                  <a:pt x="994893" y="15455"/>
                </a:lnTo>
                <a:cubicBezTo>
                  <a:pt x="994893" y="5152"/>
                  <a:pt x="1001332" y="0"/>
                  <a:pt x="1016143" y="0"/>
                </a:cubicBezTo>
                <a:cubicBezTo>
                  <a:pt x="1021295" y="0"/>
                  <a:pt x="1023870" y="0"/>
                  <a:pt x="1031598" y="644"/>
                </a:cubicBezTo>
                <a:lnTo>
                  <a:pt x="1031598" y="10947"/>
                </a:lnTo>
                <a:cubicBezTo>
                  <a:pt x="1028378" y="10947"/>
                  <a:pt x="1024514" y="10303"/>
                  <a:pt x="1021295" y="10303"/>
                </a:cubicBezTo>
                <a:cubicBezTo>
                  <a:pt x="1012279" y="10947"/>
                  <a:pt x="1009704" y="12879"/>
                  <a:pt x="1009704" y="19318"/>
                </a:cubicBezTo>
                <a:close/>
                <a:moveTo>
                  <a:pt x="1056712" y="644"/>
                </a:moveTo>
                <a:lnTo>
                  <a:pt x="1056712" y="69546"/>
                </a:lnTo>
                <a:lnTo>
                  <a:pt x="1041901" y="69546"/>
                </a:lnTo>
                <a:lnTo>
                  <a:pt x="1041901" y="644"/>
                </a:lnTo>
                <a:lnTo>
                  <a:pt x="1056712" y="644"/>
                </a:lnTo>
                <a:close/>
                <a:moveTo>
                  <a:pt x="1067659" y="44432"/>
                </a:moveTo>
                <a:cubicBezTo>
                  <a:pt x="1067659" y="25758"/>
                  <a:pt x="1081825" y="18030"/>
                  <a:pt x="1103076" y="18030"/>
                </a:cubicBezTo>
                <a:cubicBezTo>
                  <a:pt x="1124326" y="18030"/>
                  <a:pt x="1138493" y="25758"/>
                  <a:pt x="1138493" y="44432"/>
                </a:cubicBezTo>
                <a:cubicBezTo>
                  <a:pt x="1138493" y="63106"/>
                  <a:pt x="1124326" y="70834"/>
                  <a:pt x="1103076" y="70834"/>
                </a:cubicBezTo>
                <a:cubicBezTo>
                  <a:pt x="1081825" y="70834"/>
                  <a:pt x="1067659" y="63106"/>
                  <a:pt x="1067659" y="44432"/>
                </a:cubicBezTo>
                <a:close/>
                <a:moveTo>
                  <a:pt x="1123038" y="44432"/>
                </a:moveTo>
                <a:cubicBezTo>
                  <a:pt x="1123038" y="34129"/>
                  <a:pt x="1116598" y="30265"/>
                  <a:pt x="1102432" y="30265"/>
                </a:cubicBezTo>
                <a:cubicBezTo>
                  <a:pt x="1088909" y="30265"/>
                  <a:pt x="1081825" y="33485"/>
                  <a:pt x="1081825" y="44432"/>
                </a:cubicBezTo>
                <a:cubicBezTo>
                  <a:pt x="1081825" y="54735"/>
                  <a:pt x="1088265" y="58599"/>
                  <a:pt x="1102432" y="58599"/>
                </a:cubicBezTo>
                <a:cubicBezTo>
                  <a:pt x="1115954" y="58599"/>
                  <a:pt x="1123038" y="54735"/>
                  <a:pt x="1123038" y="44432"/>
                </a:cubicBezTo>
                <a:close/>
                <a:moveTo>
                  <a:pt x="1254402" y="19318"/>
                </a:moveTo>
                <a:lnTo>
                  <a:pt x="1231864" y="70190"/>
                </a:lnTo>
                <a:lnTo>
                  <a:pt x="1211902" y="70190"/>
                </a:lnTo>
                <a:lnTo>
                  <a:pt x="1197091" y="34773"/>
                </a:lnTo>
                <a:lnTo>
                  <a:pt x="1182281" y="70190"/>
                </a:lnTo>
                <a:lnTo>
                  <a:pt x="1162318" y="70190"/>
                </a:lnTo>
                <a:lnTo>
                  <a:pt x="1139780" y="19318"/>
                </a:lnTo>
                <a:lnTo>
                  <a:pt x="1156523" y="19318"/>
                </a:lnTo>
                <a:lnTo>
                  <a:pt x="1173265" y="58599"/>
                </a:lnTo>
                <a:lnTo>
                  <a:pt x="1188720" y="19318"/>
                </a:lnTo>
                <a:lnTo>
                  <a:pt x="1206107" y="19318"/>
                </a:lnTo>
                <a:lnTo>
                  <a:pt x="1221561" y="57955"/>
                </a:lnTo>
                <a:lnTo>
                  <a:pt x="1238304" y="18674"/>
                </a:lnTo>
                <a:lnTo>
                  <a:pt x="1254402" y="18674"/>
                </a:lnTo>
                <a:close/>
              </a:path>
            </a:pathLst>
          </a:custGeom>
          <a:solidFill>
            <a:srgbClr val="00AA9B"/>
          </a:solidFill>
          <a:ln w="6439" cap="flat">
            <a:noFill/>
            <a:prstDash val="solid"/>
            <a:miter/>
          </a:ln>
        </xdr:spPr>
        <xdr:txBody>
          <a:bodyPr wrap="square" rtlCol="0" anchor="ctr"/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ES"/>
          </a:p>
        </xdr:txBody>
      </xdr:sp>
      <xdr:grpSp>
        <xdr:nvGrpSpPr>
          <xdr:cNvPr id="4" name="Graphique 9">
            <a:extLst>
              <a:ext uri="{FF2B5EF4-FFF2-40B4-BE49-F238E27FC236}">
                <a16:creationId xmlns:a16="http://schemas.microsoft.com/office/drawing/2014/main" id="{B841A859-2F8D-46D4-9310-85E42669C676}"/>
              </a:ext>
            </a:extLst>
          </xdr:cNvPr>
          <xdr:cNvGrpSpPr/>
        </xdr:nvGrpSpPr>
        <xdr:grpSpPr>
          <a:xfrm>
            <a:off x="13512800" y="647260"/>
            <a:ext cx="1824935" cy="273031"/>
            <a:chOff x="13512800" y="647260"/>
            <a:chExt cx="1824935" cy="273031"/>
          </a:xfrm>
        </xdr:grpSpPr>
        <xdr:sp macro="" textlink="">
          <xdr:nvSpPr>
            <xdr:cNvPr id="5" name="Forme libre : forme 19">
              <a:extLst>
                <a:ext uri="{FF2B5EF4-FFF2-40B4-BE49-F238E27FC236}">
                  <a16:creationId xmlns:a16="http://schemas.microsoft.com/office/drawing/2014/main" id="{CCA29F06-1F4C-4A30-A88A-219B24E5E68F}"/>
                </a:ext>
              </a:extLst>
            </xdr:cNvPr>
            <xdr:cNvSpPr/>
          </xdr:nvSpPr>
          <xdr:spPr>
            <a:xfrm>
              <a:off x="13512800" y="647260"/>
              <a:ext cx="1533229" cy="273031"/>
            </a:xfrm>
            <a:custGeom>
              <a:avLst/>
              <a:gdLst>
                <a:gd name="connsiteX0" fmla="*/ 358677 w 1533229"/>
                <a:gd name="connsiteY0" fmla="*/ 169357 h 273031"/>
                <a:gd name="connsiteX1" fmla="*/ 358677 w 1533229"/>
                <a:gd name="connsiteY1" fmla="*/ 269168 h 273031"/>
                <a:gd name="connsiteX2" fmla="*/ 285267 w 1533229"/>
                <a:gd name="connsiteY2" fmla="*/ 269168 h 273031"/>
                <a:gd name="connsiteX3" fmla="*/ 285267 w 1533229"/>
                <a:gd name="connsiteY3" fmla="*/ 198978 h 273031"/>
                <a:gd name="connsiteX4" fmla="*/ 242123 w 1533229"/>
                <a:gd name="connsiteY4" fmla="*/ 154546 h 273031"/>
                <a:gd name="connsiteX5" fmla="*/ 183524 w 1533229"/>
                <a:gd name="connsiteY5" fmla="*/ 177728 h 273031"/>
                <a:gd name="connsiteX6" fmla="*/ 183524 w 1533229"/>
                <a:gd name="connsiteY6" fmla="*/ 269812 h 273031"/>
                <a:gd name="connsiteX7" fmla="*/ 110758 w 1533229"/>
                <a:gd name="connsiteY7" fmla="*/ 269812 h 273031"/>
                <a:gd name="connsiteX8" fmla="*/ 110758 w 1533229"/>
                <a:gd name="connsiteY8" fmla="*/ 92084 h 273031"/>
                <a:gd name="connsiteX9" fmla="*/ 183524 w 1533229"/>
                <a:gd name="connsiteY9" fmla="*/ 92084 h 273031"/>
                <a:gd name="connsiteX10" fmla="*/ 183524 w 1533229"/>
                <a:gd name="connsiteY10" fmla="*/ 117842 h 273031"/>
                <a:gd name="connsiteX11" fmla="*/ 271744 w 1533229"/>
                <a:gd name="connsiteY11" fmla="*/ 90152 h 273031"/>
                <a:gd name="connsiteX12" fmla="*/ 358677 w 1533229"/>
                <a:gd name="connsiteY12" fmla="*/ 169357 h 273031"/>
                <a:gd name="connsiteX13" fmla="*/ 765005 w 1533229"/>
                <a:gd name="connsiteY13" fmla="*/ 36705 h 273031"/>
                <a:gd name="connsiteX14" fmla="*/ 692239 w 1533229"/>
                <a:gd name="connsiteY14" fmla="*/ 36705 h 273031"/>
                <a:gd name="connsiteX15" fmla="*/ 692239 w 1533229"/>
                <a:gd name="connsiteY15" fmla="*/ 92084 h 273031"/>
                <a:gd name="connsiteX16" fmla="*/ 652959 w 1533229"/>
                <a:gd name="connsiteY16" fmla="*/ 92084 h 273031"/>
                <a:gd name="connsiteX17" fmla="*/ 652959 w 1533229"/>
                <a:gd name="connsiteY17" fmla="*/ 151327 h 273031"/>
                <a:gd name="connsiteX18" fmla="*/ 692239 w 1533229"/>
                <a:gd name="connsiteY18" fmla="*/ 151327 h 273031"/>
                <a:gd name="connsiteX19" fmla="*/ 692239 w 1533229"/>
                <a:gd name="connsiteY19" fmla="*/ 269168 h 273031"/>
                <a:gd name="connsiteX20" fmla="*/ 838415 w 1533229"/>
                <a:gd name="connsiteY20" fmla="*/ 269168 h 273031"/>
                <a:gd name="connsiteX21" fmla="*/ 838415 w 1533229"/>
                <a:gd name="connsiteY21" fmla="*/ 209926 h 273031"/>
                <a:gd name="connsiteX22" fmla="*/ 765649 w 1533229"/>
                <a:gd name="connsiteY22" fmla="*/ 209926 h 273031"/>
                <a:gd name="connsiteX23" fmla="*/ 765649 w 1533229"/>
                <a:gd name="connsiteY23" fmla="*/ 151327 h 273031"/>
                <a:gd name="connsiteX24" fmla="*/ 838415 w 1533229"/>
                <a:gd name="connsiteY24" fmla="*/ 151327 h 273031"/>
                <a:gd name="connsiteX25" fmla="*/ 838415 w 1533229"/>
                <a:gd name="connsiteY25" fmla="*/ 92084 h 273031"/>
                <a:gd name="connsiteX26" fmla="*/ 765649 w 1533229"/>
                <a:gd name="connsiteY26" fmla="*/ 92084 h 273031"/>
                <a:gd name="connsiteX27" fmla="*/ 765649 w 1533229"/>
                <a:gd name="connsiteY27" fmla="*/ 36705 h 273031"/>
                <a:gd name="connsiteX28" fmla="*/ 632997 w 1533229"/>
                <a:gd name="connsiteY28" fmla="*/ 192539 h 273031"/>
                <a:gd name="connsiteX29" fmla="*/ 462352 w 1533229"/>
                <a:gd name="connsiteY29" fmla="*/ 192539 h 273031"/>
                <a:gd name="connsiteX30" fmla="*/ 508072 w 1533229"/>
                <a:gd name="connsiteY30" fmla="*/ 216365 h 273031"/>
                <a:gd name="connsiteX31" fmla="*/ 548640 w 1533229"/>
                <a:gd name="connsiteY31" fmla="*/ 209926 h 273031"/>
                <a:gd name="connsiteX32" fmla="*/ 627845 w 1533229"/>
                <a:gd name="connsiteY32" fmla="*/ 209926 h 273031"/>
                <a:gd name="connsiteX33" fmla="*/ 508072 w 1533229"/>
                <a:gd name="connsiteY33" fmla="*/ 273032 h 273031"/>
                <a:gd name="connsiteX34" fmla="*/ 388942 w 1533229"/>
                <a:gd name="connsiteY34" fmla="*/ 180304 h 273031"/>
                <a:gd name="connsiteX35" fmla="*/ 511291 w 1533229"/>
                <a:gd name="connsiteY35" fmla="*/ 87576 h 273031"/>
                <a:gd name="connsiteX36" fmla="*/ 632997 w 1533229"/>
                <a:gd name="connsiteY36" fmla="*/ 192539 h 273031"/>
                <a:gd name="connsiteX37" fmla="*/ 556367 w 1533229"/>
                <a:gd name="connsiteY37" fmla="*/ 152615 h 273031"/>
                <a:gd name="connsiteX38" fmla="*/ 510647 w 1533229"/>
                <a:gd name="connsiteY38" fmla="*/ 135228 h 273031"/>
                <a:gd name="connsiteX39" fmla="*/ 465571 w 1533229"/>
                <a:gd name="connsiteY39" fmla="*/ 152615 h 273031"/>
                <a:gd name="connsiteX40" fmla="*/ 556367 w 1533229"/>
                <a:gd name="connsiteY40" fmla="*/ 152615 h 273031"/>
                <a:gd name="connsiteX41" fmla="*/ 1041901 w 1533229"/>
                <a:gd name="connsiteY41" fmla="*/ 186744 h 273031"/>
                <a:gd name="connsiteX42" fmla="*/ 985878 w 1533229"/>
                <a:gd name="connsiteY42" fmla="*/ 208638 h 273031"/>
                <a:gd name="connsiteX43" fmla="*/ 943377 w 1533229"/>
                <a:gd name="connsiteY43" fmla="*/ 165493 h 273031"/>
                <a:gd name="connsiteX44" fmla="*/ 943377 w 1533229"/>
                <a:gd name="connsiteY44" fmla="*/ 92084 h 273031"/>
                <a:gd name="connsiteX45" fmla="*/ 870612 w 1533229"/>
                <a:gd name="connsiteY45" fmla="*/ 92084 h 273031"/>
                <a:gd name="connsiteX46" fmla="*/ 870612 w 1533229"/>
                <a:gd name="connsiteY46" fmla="*/ 194471 h 273031"/>
                <a:gd name="connsiteX47" fmla="*/ 957544 w 1533229"/>
                <a:gd name="connsiteY47" fmla="*/ 269812 h 273031"/>
                <a:gd name="connsiteX48" fmla="*/ 1041901 w 1533229"/>
                <a:gd name="connsiteY48" fmla="*/ 243411 h 273031"/>
                <a:gd name="connsiteX49" fmla="*/ 1041901 w 1533229"/>
                <a:gd name="connsiteY49" fmla="*/ 268524 h 273031"/>
                <a:gd name="connsiteX50" fmla="*/ 1114667 w 1533229"/>
                <a:gd name="connsiteY50" fmla="*/ 268524 h 273031"/>
                <a:gd name="connsiteX51" fmla="*/ 1114667 w 1533229"/>
                <a:gd name="connsiteY51" fmla="*/ 91440 h 273031"/>
                <a:gd name="connsiteX52" fmla="*/ 1041901 w 1533229"/>
                <a:gd name="connsiteY52" fmla="*/ 91440 h 273031"/>
                <a:gd name="connsiteX53" fmla="*/ 1041901 w 1533229"/>
                <a:gd name="connsiteY53" fmla="*/ 186744 h 273031"/>
                <a:gd name="connsiteX54" fmla="*/ 1457888 w 1533229"/>
                <a:gd name="connsiteY54" fmla="*/ 89508 h 273031"/>
                <a:gd name="connsiteX55" fmla="*/ 1371600 w 1533229"/>
                <a:gd name="connsiteY55" fmla="*/ 123637 h 273031"/>
                <a:gd name="connsiteX56" fmla="*/ 1305274 w 1533229"/>
                <a:gd name="connsiteY56" fmla="*/ 89508 h 273031"/>
                <a:gd name="connsiteX57" fmla="*/ 1225425 w 1533229"/>
                <a:gd name="connsiteY57" fmla="*/ 121705 h 273031"/>
                <a:gd name="connsiteX58" fmla="*/ 1225425 w 1533229"/>
                <a:gd name="connsiteY58" fmla="*/ 92084 h 273031"/>
                <a:gd name="connsiteX59" fmla="*/ 1152659 w 1533229"/>
                <a:gd name="connsiteY59" fmla="*/ 92084 h 273031"/>
                <a:gd name="connsiteX60" fmla="*/ 1152659 w 1533229"/>
                <a:gd name="connsiteY60" fmla="*/ 269168 h 273031"/>
                <a:gd name="connsiteX61" fmla="*/ 1225425 w 1533229"/>
                <a:gd name="connsiteY61" fmla="*/ 269168 h 273031"/>
                <a:gd name="connsiteX62" fmla="*/ 1225425 w 1533229"/>
                <a:gd name="connsiteY62" fmla="*/ 173865 h 273031"/>
                <a:gd name="connsiteX63" fmla="*/ 1273721 w 1533229"/>
                <a:gd name="connsiteY63" fmla="*/ 151327 h 273031"/>
                <a:gd name="connsiteX64" fmla="*/ 1307850 w 1533229"/>
                <a:gd name="connsiteY64" fmla="*/ 194471 h 273031"/>
                <a:gd name="connsiteX65" fmla="*/ 1307850 w 1533229"/>
                <a:gd name="connsiteY65" fmla="*/ 269168 h 273031"/>
                <a:gd name="connsiteX66" fmla="*/ 1380615 w 1533229"/>
                <a:gd name="connsiteY66" fmla="*/ 269168 h 273031"/>
                <a:gd name="connsiteX67" fmla="*/ 1380615 w 1533229"/>
                <a:gd name="connsiteY67" fmla="*/ 171933 h 273031"/>
                <a:gd name="connsiteX68" fmla="*/ 1426335 w 1533229"/>
                <a:gd name="connsiteY68" fmla="*/ 151327 h 273031"/>
                <a:gd name="connsiteX69" fmla="*/ 1460464 w 1533229"/>
                <a:gd name="connsiteY69" fmla="*/ 194471 h 273031"/>
                <a:gd name="connsiteX70" fmla="*/ 1460464 w 1533229"/>
                <a:gd name="connsiteY70" fmla="*/ 269168 h 273031"/>
                <a:gd name="connsiteX71" fmla="*/ 1533230 w 1533229"/>
                <a:gd name="connsiteY71" fmla="*/ 269168 h 273031"/>
                <a:gd name="connsiteX72" fmla="*/ 1533230 w 1533229"/>
                <a:gd name="connsiteY72" fmla="*/ 162918 h 273031"/>
                <a:gd name="connsiteX73" fmla="*/ 1457888 w 1533229"/>
                <a:gd name="connsiteY73" fmla="*/ 89508 h 273031"/>
                <a:gd name="connsiteX74" fmla="*/ 0 w 1533229"/>
                <a:gd name="connsiteY74" fmla="*/ 92084 h 273031"/>
                <a:gd name="connsiteX75" fmla="*/ 0 w 1533229"/>
                <a:gd name="connsiteY75" fmla="*/ 269168 h 273031"/>
                <a:gd name="connsiteX76" fmla="*/ 72766 w 1533229"/>
                <a:gd name="connsiteY76" fmla="*/ 269168 h 273031"/>
                <a:gd name="connsiteX77" fmla="*/ 72766 w 1533229"/>
                <a:gd name="connsiteY77" fmla="*/ 92084 h 273031"/>
                <a:gd name="connsiteX78" fmla="*/ 0 w 1533229"/>
                <a:gd name="connsiteY78" fmla="*/ 92084 h 273031"/>
                <a:gd name="connsiteX79" fmla="*/ 72766 w 1533229"/>
                <a:gd name="connsiteY79" fmla="*/ 0 h 273031"/>
                <a:gd name="connsiteX80" fmla="*/ 0 w 1533229"/>
                <a:gd name="connsiteY80" fmla="*/ 0 h 273031"/>
                <a:gd name="connsiteX81" fmla="*/ 0 w 1533229"/>
                <a:gd name="connsiteY81" fmla="*/ 72766 h 273031"/>
                <a:gd name="connsiteX82" fmla="*/ 72766 w 1533229"/>
                <a:gd name="connsiteY82" fmla="*/ 72766 h 273031"/>
                <a:gd name="connsiteX83" fmla="*/ 72766 w 1533229"/>
                <a:gd name="connsiteY83" fmla="*/ 0 h 27303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  <a:cxn ang="0">
                  <a:pos x="connsiteX51" y="connsiteY51"/>
                </a:cxn>
                <a:cxn ang="0">
                  <a:pos x="connsiteX52" y="connsiteY52"/>
                </a:cxn>
                <a:cxn ang="0">
                  <a:pos x="connsiteX53" y="connsiteY53"/>
                </a:cxn>
                <a:cxn ang="0">
                  <a:pos x="connsiteX54" y="connsiteY54"/>
                </a:cxn>
                <a:cxn ang="0">
                  <a:pos x="connsiteX55" y="connsiteY55"/>
                </a:cxn>
                <a:cxn ang="0">
                  <a:pos x="connsiteX56" y="connsiteY56"/>
                </a:cxn>
                <a:cxn ang="0">
                  <a:pos x="connsiteX57" y="connsiteY57"/>
                </a:cxn>
                <a:cxn ang="0">
                  <a:pos x="connsiteX58" y="connsiteY58"/>
                </a:cxn>
                <a:cxn ang="0">
                  <a:pos x="connsiteX59" y="connsiteY59"/>
                </a:cxn>
                <a:cxn ang="0">
                  <a:pos x="connsiteX60" y="connsiteY60"/>
                </a:cxn>
                <a:cxn ang="0">
                  <a:pos x="connsiteX61" y="connsiteY61"/>
                </a:cxn>
                <a:cxn ang="0">
                  <a:pos x="connsiteX62" y="connsiteY62"/>
                </a:cxn>
                <a:cxn ang="0">
                  <a:pos x="connsiteX63" y="connsiteY63"/>
                </a:cxn>
                <a:cxn ang="0">
                  <a:pos x="connsiteX64" y="connsiteY64"/>
                </a:cxn>
                <a:cxn ang="0">
                  <a:pos x="connsiteX65" y="connsiteY65"/>
                </a:cxn>
                <a:cxn ang="0">
                  <a:pos x="connsiteX66" y="connsiteY66"/>
                </a:cxn>
                <a:cxn ang="0">
                  <a:pos x="connsiteX67" y="connsiteY67"/>
                </a:cxn>
                <a:cxn ang="0">
                  <a:pos x="connsiteX68" y="connsiteY68"/>
                </a:cxn>
                <a:cxn ang="0">
                  <a:pos x="connsiteX69" y="connsiteY69"/>
                </a:cxn>
                <a:cxn ang="0">
                  <a:pos x="connsiteX70" y="connsiteY70"/>
                </a:cxn>
                <a:cxn ang="0">
                  <a:pos x="connsiteX71" y="connsiteY71"/>
                </a:cxn>
                <a:cxn ang="0">
                  <a:pos x="connsiteX72" y="connsiteY72"/>
                </a:cxn>
                <a:cxn ang="0">
                  <a:pos x="connsiteX73" y="connsiteY73"/>
                </a:cxn>
                <a:cxn ang="0">
                  <a:pos x="connsiteX74" y="connsiteY74"/>
                </a:cxn>
                <a:cxn ang="0">
                  <a:pos x="connsiteX75" y="connsiteY75"/>
                </a:cxn>
                <a:cxn ang="0">
                  <a:pos x="connsiteX76" y="connsiteY76"/>
                </a:cxn>
                <a:cxn ang="0">
                  <a:pos x="connsiteX77" y="connsiteY77"/>
                </a:cxn>
                <a:cxn ang="0">
                  <a:pos x="connsiteX78" y="connsiteY78"/>
                </a:cxn>
                <a:cxn ang="0">
                  <a:pos x="connsiteX79" y="connsiteY79"/>
                </a:cxn>
                <a:cxn ang="0">
                  <a:pos x="connsiteX80" y="connsiteY80"/>
                </a:cxn>
                <a:cxn ang="0">
                  <a:pos x="connsiteX81" y="connsiteY81"/>
                </a:cxn>
                <a:cxn ang="0">
                  <a:pos x="connsiteX82" y="connsiteY82"/>
                </a:cxn>
                <a:cxn ang="0">
                  <a:pos x="connsiteX83" y="connsiteY83"/>
                </a:cxn>
              </a:cxnLst>
              <a:rect l="l" t="t" r="r" b="b"/>
              <a:pathLst>
                <a:path w="1533229" h="273031">
                  <a:moveTo>
                    <a:pt x="358677" y="169357"/>
                  </a:moveTo>
                  <a:lnTo>
                    <a:pt x="358677" y="269168"/>
                  </a:lnTo>
                  <a:lnTo>
                    <a:pt x="285267" y="269168"/>
                  </a:lnTo>
                  <a:lnTo>
                    <a:pt x="285267" y="198978"/>
                  </a:lnTo>
                  <a:cubicBezTo>
                    <a:pt x="285267" y="167425"/>
                    <a:pt x="274964" y="154546"/>
                    <a:pt x="242123" y="154546"/>
                  </a:cubicBezTo>
                  <a:cubicBezTo>
                    <a:pt x="220229" y="154546"/>
                    <a:pt x="197691" y="164206"/>
                    <a:pt x="183524" y="177728"/>
                  </a:cubicBezTo>
                  <a:lnTo>
                    <a:pt x="183524" y="269812"/>
                  </a:lnTo>
                  <a:lnTo>
                    <a:pt x="110758" y="269812"/>
                  </a:lnTo>
                  <a:lnTo>
                    <a:pt x="110758" y="92084"/>
                  </a:lnTo>
                  <a:lnTo>
                    <a:pt x="183524" y="92084"/>
                  </a:lnTo>
                  <a:lnTo>
                    <a:pt x="183524" y="117842"/>
                  </a:lnTo>
                  <a:cubicBezTo>
                    <a:pt x="205418" y="102387"/>
                    <a:pt x="233108" y="90152"/>
                    <a:pt x="271744" y="90152"/>
                  </a:cubicBezTo>
                  <a:cubicBezTo>
                    <a:pt x="312957" y="90152"/>
                    <a:pt x="358677" y="103675"/>
                    <a:pt x="358677" y="169357"/>
                  </a:cubicBezTo>
                  <a:close/>
                  <a:moveTo>
                    <a:pt x="765005" y="36705"/>
                  </a:moveTo>
                  <a:lnTo>
                    <a:pt x="692239" y="36705"/>
                  </a:lnTo>
                  <a:lnTo>
                    <a:pt x="692239" y="92084"/>
                  </a:lnTo>
                  <a:lnTo>
                    <a:pt x="652959" y="92084"/>
                  </a:lnTo>
                  <a:lnTo>
                    <a:pt x="652959" y="151327"/>
                  </a:lnTo>
                  <a:lnTo>
                    <a:pt x="692239" y="151327"/>
                  </a:lnTo>
                  <a:lnTo>
                    <a:pt x="692239" y="269168"/>
                  </a:lnTo>
                  <a:lnTo>
                    <a:pt x="838415" y="269168"/>
                  </a:lnTo>
                  <a:lnTo>
                    <a:pt x="838415" y="209926"/>
                  </a:lnTo>
                  <a:lnTo>
                    <a:pt x="765649" y="209926"/>
                  </a:lnTo>
                  <a:lnTo>
                    <a:pt x="765649" y="151327"/>
                  </a:lnTo>
                  <a:lnTo>
                    <a:pt x="838415" y="151327"/>
                  </a:lnTo>
                  <a:lnTo>
                    <a:pt x="838415" y="92084"/>
                  </a:lnTo>
                  <a:lnTo>
                    <a:pt x="765649" y="92084"/>
                  </a:lnTo>
                  <a:lnTo>
                    <a:pt x="765649" y="36705"/>
                  </a:lnTo>
                  <a:close/>
                  <a:moveTo>
                    <a:pt x="632997" y="192539"/>
                  </a:moveTo>
                  <a:lnTo>
                    <a:pt x="462352" y="192539"/>
                  </a:lnTo>
                  <a:cubicBezTo>
                    <a:pt x="468147" y="211857"/>
                    <a:pt x="488109" y="216365"/>
                    <a:pt x="508072" y="216365"/>
                  </a:cubicBezTo>
                  <a:cubicBezTo>
                    <a:pt x="527390" y="216365"/>
                    <a:pt x="538337" y="215077"/>
                    <a:pt x="548640" y="209926"/>
                  </a:cubicBezTo>
                  <a:lnTo>
                    <a:pt x="627845" y="209926"/>
                  </a:lnTo>
                  <a:cubicBezTo>
                    <a:pt x="616254" y="252426"/>
                    <a:pt x="577617" y="273032"/>
                    <a:pt x="508072" y="273032"/>
                  </a:cubicBezTo>
                  <a:cubicBezTo>
                    <a:pt x="437882" y="273032"/>
                    <a:pt x="388942" y="246630"/>
                    <a:pt x="388942" y="180304"/>
                  </a:cubicBezTo>
                  <a:cubicBezTo>
                    <a:pt x="388942" y="113978"/>
                    <a:pt x="437882" y="87576"/>
                    <a:pt x="511291" y="87576"/>
                  </a:cubicBezTo>
                  <a:cubicBezTo>
                    <a:pt x="585345" y="87576"/>
                    <a:pt x="632997" y="113978"/>
                    <a:pt x="632997" y="192539"/>
                  </a:cubicBezTo>
                  <a:close/>
                  <a:moveTo>
                    <a:pt x="556367" y="152615"/>
                  </a:moveTo>
                  <a:cubicBezTo>
                    <a:pt x="547996" y="140380"/>
                    <a:pt x="529966" y="135228"/>
                    <a:pt x="510647" y="135228"/>
                  </a:cubicBezTo>
                  <a:cubicBezTo>
                    <a:pt x="491329" y="135228"/>
                    <a:pt x="473299" y="141024"/>
                    <a:pt x="465571" y="152615"/>
                  </a:cubicBezTo>
                  <a:lnTo>
                    <a:pt x="556367" y="152615"/>
                  </a:lnTo>
                  <a:close/>
                  <a:moveTo>
                    <a:pt x="1041901" y="186744"/>
                  </a:moveTo>
                  <a:cubicBezTo>
                    <a:pt x="1028378" y="199622"/>
                    <a:pt x="1006484" y="208638"/>
                    <a:pt x="985878" y="208638"/>
                  </a:cubicBezTo>
                  <a:cubicBezTo>
                    <a:pt x="954325" y="208638"/>
                    <a:pt x="943377" y="195759"/>
                    <a:pt x="943377" y="165493"/>
                  </a:cubicBezTo>
                  <a:lnTo>
                    <a:pt x="943377" y="92084"/>
                  </a:lnTo>
                  <a:lnTo>
                    <a:pt x="870612" y="92084"/>
                  </a:lnTo>
                  <a:lnTo>
                    <a:pt x="870612" y="194471"/>
                  </a:lnTo>
                  <a:cubicBezTo>
                    <a:pt x="870612" y="257577"/>
                    <a:pt x="918264" y="269812"/>
                    <a:pt x="957544" y="269812"/>
                  </a:cubicBezTo>
                  <a:cubicBezTo>
                    <a:pt x="994249" y="269812"/>
                    <a:pt x="1021295" y="258221"/>
                    <a:pt x="1041901" y="243411"/>
                  </a:cubicBezTo>
                  <a:lnTo>
                    <a:pt x="1041901" y="268524"/>
                  </a:lnTo>
                  <a:lnTo>
                    <a:pt x="1114667" y="268524"/>
                  </a:lnTo>
                  <a:lnTo>
                    <a:pt x="1114667" y="91440"/>
                  </a:lnTo>
                  <a:lnTo>
                    <a:pt x="1041901" y="91440"/>
                  </a:lnTo>
                  <a:lnTo>
                    <a:pt x="1041901" y="186744"/>
                  </a:lnTo>
                  <a:close/>
                  <a:moveTo>
                    <a:pt x="1457888" y="89508"/>
                  </a:moveTo>
                  <a:cubicBezTo>
                    <a:pt x="1414744" y="89508"/>
                    <a:pt x="1388987" y="103031"/>
                    <a:pt x="1371600" y="123637"/>
                  </a:cubicBezTo>
                  <a:cubicBezTo>
                    <a:pt x="1357433" y="97879"/>
                    <a:pt x="1327168" y="89508"/>
                    <a:pt x="1305274" y="89508"/>
                  </a:cubicBezTo>
                  <a:cubicBezTo>
                    <a:pt x="1262130" y="89508"/>
                    <a:pt x="1241523" y="106895"/>
                    <a:pt x="1225425" y="121705"/>
                  </a:cubicBezTo>
                  <a:lnTo>
                    <a:pt x="1225425" y="92084"/>
                  </a:lnTo>
                  <a:lnTo>
                    <a:pt x="1152659" y="92084"/>
                  </a:lnTo>
                  <a:lnTo>
                    <a:pt x="1152659" y="269168"/>
                  </a:lnTo>
                  <a:lnTo>
                    <a:pt x="1225425" y="269168"/>
                  </a:lnTo>
                  <a:lnTo>
                    <a:pt x="1225425" y="173865"/>
                  </a:lnTo>
                  <a:cubicBezTo>
                    <a:pt x="1240236" y="159054"/>
                    <a:pt x="1255690" y="151327"/>
                    <a:pt x="1273721" y="151327"/>
                  </a:cubicBezTo>
                  <a:cubicBezTo>
                    <a:pt x="1299478" y="151327"/>
                    <a:pt x="1307850" y="164206"/>
                    <a:pt x="1307850" y="194471"/>
                  </a:cubicBezTo>
                  <a:lnTo>
                    <a:pt x="1307850" y="269168"/>
                  </a:lnTo>
                  <a:lnTo>
                    <a:pt x="1380615" y="269168"/>
                  </a:lnTo>
                  <a:lnTo>
                    <a:pt x="1380615" y="171933"/>
                  </a:lnTo>
                  <a:cubicBezTo>
                    <a:pt x="1395426" y="157122"/>
                    <a:pt x="1408305" y="151327"/>
                    <a:pt x="1426335" y="151327"/>
                  </a:cubicBezTo>
                  <a:cubicBezTo>
                    <a:pt x="1452093" y="151327"/>
                    <a:pt x="1460464" y="164206"/>
                    <a:pt x="1460464" y="194471"/>
                  </a:cubicBezTo>
                  <a:lnTo>
                    <a:pt x="1460464" y="269168"/>
                  </a:lnTo>
                  <a:lnTo>
                    <a:pt x="1533230" y="269168"/>
                  </a:lnTo>
                  <a:lnTo>
                    <a:pt x="1533230" y="162918"/>
                  </a:lnTo>
                  <a:cubicBezTo>
                    <a:pt x="1533230" y="101743"/>
                    <a:pt x="1488798" y="89508"/>
                    <a:pt x="1457888" y="89508"/>
                  </a:cubicBezTo>
                  <a:close/>
                  <a:moveTo>
                    <a:pt x="0" y="92084"/>
                  </a:moveTo>
                  <a:lnTo>
                    <a:pt x="0" y="269168"/>
                  </a:lnTo>
                  <a:lnTo>
                    <a:pt x="72766" y="269168"/>
                  </a:lnTo>
                  <a:lnTo>
                    <a:pt x="72766" y="92084"/>
                  </a:lnTo>
                  <a:lnTo>
                    <a:pt x="0" y="92084"/>
                  </a:lnTo>
                  <a:close/>
                  <a:moveTo>
                    <a:pt x="72766" y="0"/>
                  </a:moveTo>
                  <a:lnTo>
                    <a:pt x="0" y="0"/>
                  </a:lnTo>
                  <a:lnTo>
                    <a:pt x="0" y="72766"/>
                  </a:lnTo>
                  <a:lnTo>
                    <a:pt x="72766" y="72766"/>
                  </a:lnTo>
                  <a:lnTo>
                    <a:pt x="72766" y="0"/>
                  </a:lnTo>
                  <a:close/>
                </a:path>
              </a:pathLst>
            </a:custGeom>
            <a:solidFill>
              <a:srgbClr val="232D4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  <xdr:sp macro="" textlink="">
          <xdr:nvSpPr>
            <xdr:cNvPr id="6" name="Forme libre : forme 20">
              <a:extLst>
                <a:ext uri="{FF2B5EF4-FFF2-40B4-BE49-F238E27FC236}">
                  <a16:creationId xmlns:a16="http://schemas.microsoft.com/office/drawing/2014/main" id="{7B148FD3-2029-4CC5-8CA2-0EAD530A4ED5}"/>
                </a:ext>
              </a:extLst>
            </xdr:cNvPr>
            <xdr:cNvSpPr/>
          </xdr:nvSpPr>
          <xdr:spPr>
            <a:xfrm>
              <a:off x="15119439" y="697487"/>
              <a:ext cx="218296" cy="218940"/>
            </a:xfrm>
            <a:custGeom>
              <a:avLst/>
              <a:gdLst>
                <a:gd name="connsiteX0" fmla="*/ 72766 w 218296"/>
                <a:gd name="connsiteY0" fmla="*/ 0 h 218940"/>
                <a:gd name="connsiteX1" fmla="*/ 72766 w 218296"/>
                <a:gd name="connsiteY1" fmla="*/ 72766 h 218940"/>
                <a:gd name="connsiteX2" fmla="*/ 145531 w 218296"/>
                <a:gd name="connsiteY2" fmla="*/ 72766 h 218940"/>
                <a:gd name="connsiteX3" fmla="*/ 145531 w 218296"/>
                <a:gd name="connsiteY3" fmla="*/ 145531 h 218940"/>
                <a:gd name="connsiteX4" fmla="*/ 218297 w 218296"/>
                <a:gd name="connsiteY4" fmla="*/ 145531 h 218940"/>
                <a:gd name="connsiteX5" fmla="*/ 218297 w 218296"/>
                <a:gd name="connsiteY5" fmla="*/ 0 h 218940"/>
                <a:gd name="connsiteX6" fmla="*/ 72766 w 218296"/>
                <a:gd name="connsiteY6" fmla="*/ 0 h 218940"/>
                <a:gd name="connsiteX7" fmla="*/ 72766 w 218296"/>
                <a:gd name="connsiteY7" fmla="*/ 146175 h 218940"/>
                <a:gd name="connsiteX8" fmla="*/ 0 w 218296"/>
                <a:gd name="connsiteY8" fmla="*/ 146175 h 218940"/>
                <a:gd name="connsiteX9" fmla="*/ 0 w 218296"/>
                <a:gd name="connsiteY9" fmla="*/ 218941 h 218940"/>
                <a:gd name="connsiteX10" fmla="*/ 72766 w 218296"/>
                <a:gd name="connsiteY10" fmla="*/ 218941 h 218940"/>
                <a:gd name="connsiteX11" fmla="*/ 72766 w 218296"/>
                <a:gd name="connsiteY11" fmla="*/ 146175 h 21894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</a:cxnLst>
              <a:rect l="l" t="t" r="r" b="b"/>
              <a:pathLst>
                <a:path w="218296" h="218940">
                  <a:moveTo>
                    <a:pt x="72766" y="0"/>
                  </a:moveTo>
                  <a:lnTo>
                    <a:pt x="72766" y="72766"/>
                  </a:lnTo>
                  <a:lnTo>
                    <a:pt x="145531" y="72766"/>
                  </a:lnTo>
                  <a:lnTo>
                    <a:pt x="145531" y="145531"/>
                  </a:lnTo>
                  <a:lnTo>
                    <a:pt x="218297" y="145531"/>
                  </a:lnTo>
                  <a:lnTo>
                    <a:pt x="218297" y="0"/>
                  </a:lnTo>
                  <a:lnTo>
                    <a:pt x="72766" y="0"/>
                  </a:lnTo>
                  <a:close/>
                  <a:moveTo>
                    <a:pt x="72766" y="146175"/>
                  </a:moveTo>
                  <a:lnTo>
                    <a:pt x="0" y="146175"/>
                  </a:lnTo>
                  <a:lnTo>
                    <a:pt x="0" y="218941"/>
                  </a:lnTo>
                  <a:lnTo>
                    <a:pt x="72766" y="218941"/>
                  </a:lnTo>
                  <a:lnTo>
                    <a:pt x="72766" y="146175"/>
                  </a:lnTo>
                  <a:close/>
                </a:path>
              </a:pathLst>
            </a:custGeom>
            <a:solidFill>
              <a:srgbClr val="00AA9B"/>
            </a:solidFill>
            <a:ln w="6439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s-ES"/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oaquin/2021-2022/02.%20Mejoras/Cambio%20activos%20CMMI/Mejora%20de%20Guia%20de%20Adaptaci&#243;n/M125%20Tailoring%20Guide%20v2.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0.SGS%20INETUM/05%20-SGS%20-%20GUIA%20DE%20ADAPTACION/M125%20Guia%20de%20Adaptacion%20Proyectos%20-%20Servicios%20IS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Adaptación Modelo Gestión"/>
      <sheetName val="Actividades Técnicas SW"/>
      <sheetName val="Configuracion"/>
      <sheetName val="Actividades Técnicas IS"/>
      <sheetName val="Roadmap Gestión"/>
      <sheetName val="Ayud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Cambios"/>
      <sheetName val="Adaptación (1)"/>
      <sheetName val="Adaptación(2) - Catálogo "/>
      <sheetName val="Configuracion"/>
      <sheetName val="Ayuda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7E3F-7C41-4FF9-87E4-719B2305370A}">
  <dimension ref="A1:F18"/>
  <sheetViews>
    <sheetView zoomScale="110" zoomScaleNormal="110" workbookViewId="0"/>
  </sheetViews>
  <sheetFormatPr defaultColWidth="9.140625" defaultRowHeight="12.75"/>
  <cols>
    <col min="1" max="1" width="2.5703125" style="103" customWidth="1"/>
    <col min="2" max="2" width="18" style="103" customWidth="1"/>
    <col min="3" max="3" width="24" style="103" customWidth="1"/>
    <col min="4" max="4" width="24.5703125" style="103" customWidth="1"/>
    <col min="5" max="5" width="19" style="103" customWidth="1"/>
    <col min="6" max="6" width="16.28515625" style="103" bestFit="1" customWidth="1"/>
    <col min="7" max="16384" width="9.140625" style="103"/>
  </cols>
  <sheetData>
    <row r="1" spans="1:6">
      <c r="A1" s="115"/>
      <c r="B1" s="115"/>
      <c r="C1" s="115"/>
      <c r="D1" s="115"/>
      <c r="E1" s="115"/>
      <c r="F1" s="115"/>
    </row>
    <row r="2" spans="1:6">
      <c r="A2" s="115"/>
      <c r="B2" s="115"/>
      <c r="C2" s="115"/>
      <c r="D2" s="115"/>
      <c r="E2" s="115"/>
      <c r="F2" s="115"/>
    </row>
    <row r="3" spans="1:6">
      <c r="A3" s="115"/>
      <c r="B3" s="115"/>
      <c r="C3" s="115"/>
      <c r="D3" s="115"/>
      <c r="E3" s="115"/>
      <c r="F3" s="115"/>
    </row>
    <row r="4" spans="1:6">
      <c r="A4" s="115"/>
      <c r="B4" s="115"/>
      <c r="C4" s="115"/>
      <c r="D4" s="115"/>
      <c r="E4" s="115"/>
    </row>
    <row r="5" spans="1:6">
      <c r="A5" s="115"/>
      <c r="B5" s="115"/>
      <c r="C5" s="115"/>
      <c r="D5" s="115"/>
      <c r="E5" s="116" t="s">
        <v>0</v>
      </c>
      <c r="F5" s="115"/>
    </row>
    <row r="6" spans="1:6">
      <c r="A6" s="115"/>
      <c r="B6" s="115"/>
      <c r="C6" s="115"/>
      <c r="D6" s="115"/>
      <c r="E6" s="115"/>
      <c r="F6" s="115"/>
    </row>
    <row r="7" spans="1:6" ht="13.5" customHeight="1">
      <c r="A7" s="115"/>
      <c r="B7" s="117" t="s">
        <v>1</v>
      </c>
      <c r="C7" s="115"/>
      <c r="F7" s="115"/>
    </row>
    <row r="8" spans="1:6">
      <c r="A8" s="115"/>
      <c r="B8" s="115"/>
      <c r="C8" s="115"/>
      <c r="D8" s="115"/>
      <c r="E8" s="115"/>
      <c r="F8" s="115"/>
    </row>
    <row r="9" spans="1:6">
      <c r="A9" s="115"/>
      <c r="B9" s="107"/>
      <c r="C9" s="107"/>
      <c r="D9" s="107"/>
      <c r="E9" s="107"/>
      <c r="F9" s="115"/>
    </row>
    <row r="10" spans="1:6">
      <c r="A10" s="115"/>
      <c r="C10" s="113" t="s">
        <v>2</v>
      </c>
      <c r="D10" s="113" t="s">
        <v>3</v>
      </c>
      <c r="E10" s="113" t="s">
        <v>4</v>
      </c>
      <c r="F10" s="115"/>
    </row>
    <row r="11" spans="1:6">
      <c r="A11" s="115"/>
      <c r="C11" s="111" t="s">
        <v>5</v>
      </c>
      <c r="D11" s="111" t="s">
        <v>6</v>
      </c>
      <c r="E11" s="111" t="s">
        <v>7</v>
      </c>
      <c r="F11" s="115"/>
    </row>
    <row r="12" spans="1:6" s="104" customFormat="1">
      <c r="A12" s="118"/>
      <c r="C12" s="105"/>
      <c r="D12" s="105"/>
      <c r="E12" s="106"/>
      <c r="F12" s="118"/>
    </row>
    <row r="13" spans="1:6">
      <c r="A13" s="115"/>
      <c r="B13" s="107"/>
      <c r="C13" s="107"/>
      <c r="D13" s="107"/>
      <c r="E13" s="107"/>
      <c r="F13" s="115"/>
    </row>
    <row r="14" spans="1:6" ht="14.25">
      <c r="A14" s="115"/>
      <c r="B14" s="108"/>
      <c r="C14" s="114" t="s">
        <v>8</v>
      </c>
      <c r="D14" s="114" t="s">
        <v>9</v>
      </c>
      <c r="E14" s="114" t="s">
        <v>4</v>
      </c>
      <c r="F14" s="115"/>
    </row>
    <row r="15" spans="1:6" ht="21">
      <c r="A15" s="115"/>
      <c r="B15" s="112" t="s">
        <v>10</v>
      </c>
      <c r="C15" s="110" t="s">
        <v>11</v>
      </c>
      <c r="D15" s="109"/>
      <c r="E15" s="106"/>
      <c r="F15" s="115"/>
    </row>
    <row r="16" spans="1:6" ht="21">
      <c r="A16" s="115"/>
      <c r="B16" s="112" t="s">
        <v>12</v>
      </c>
      <c r="C16" s="110" t="s">
        <v>13</v>
      </c>
      <c r="D16" s="109"/>
      <c r="E16" s="110"/>
      <c r="F16" s="115"/>
    </row>
    <row r="17" spans="1:6" ht="21">
      <c r="A17" s="115"/>
      <c r="B17" s="112" t="s">
        <v>14</v>
      </c>
      <c r="C17" s="110" t="s">
        <v>15</v>
      </c>
      <c r="D17" s="109"/>
      <c r="E17" s="110"/>
      <c r="F17" s="115"/>
    </row>
    <row r="18" spans="1:6">
      <c r="A18" s="115"/>
      <c r="B18" s="115"/>
      <c r="C18" s="115"/>
      <c r="D18" s="115"/>
      <c r="E18" s="115"/>
      <c r="F18" s="115"/>
    </row>
  </sheetData>
  <sheetProtection selectLockedCell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F147"/>
  <sheetViews>
    <sheetView showGridLines="0" workbookViewId="0"/>
  </sheetViews>
  <sheetFormatPr defaultColWidth="9.28515625" defaultRowHeight="14.25"/>
  <cols>
    <col min="1" max="1" width="1.5703125" style="33" customWidth="1"/>
    <col min="2" max="2" width="17.28515625" style="56" customWidth="1"/>
    <col min="3" max="32" width="8.85546875" style="33" customWidth="1"/>
    <col min="33" max="16384" width="9.28515625" style="33"/>
  </cols>
  <sheetData>
    <row r="3" spans="2:32" ht="26.25">
      <c r="D3" s="87"/>
      <c r="I3" s="86" t="s">
        <v>16</v>
      </c>
    </row>
    <row r="5" spans="2:32" s="137" customFormat="1">
      <c r="B5" s="138" t="s">
        <v>17</v>
      </c>
    </row>
    <row r="6" spans="2:32">
      <c r="B6" s="33"/>
      <c r="C6" s="34" t="s">
        <v>18</v>
      </c>
    </row>
    <row r="7" spans="2:32" ht="15" thickBot="1">
      <c r="B7" s="19"/>
    </row>
    <row r="8" spans="2:32">
      <c r="B8" s="19"/>
      <c r="C8" s="162" t="s">
        <v>19</v>
      </c>
      <c r="D8" s="163"/>
      <c r="E8" s="163"/>
      <c r="F8" s="163"/>
      <c r="G8" s="163"/>
      <c r="H8" s="164"/>
      <c r="I8" s="162" t="s">
        <v>20</v>
      </c>
      <c r="J8" s="163"/>
      <c r="K8" s="163"/>
      <c r="L8" s="163"/>
      <c r="M8" s="163"/>
      <c r="N8" s="164"/>
      <c r="O8" s="162" t="s">
        <v>21</v>
      </c>
      <c r="P8" s="163"/>
      <c r="Q8" s="163"/>
      <c r="R8" s="163"/>
      <c r="S8" s="163"/>
      <c r="T8" s="164"/>
      <c r="U8" s="162" t="s">
        <v>22</v>
      </c>
      <c r="V8" s="163"/>
      <c r="W8" s="163"/>
      <c r="X8" s="163"/>
      <c r="Y8" s="163"/>
      <c r="Z8" s="164"/>
      <c r="AA8" s="162" t="s">
        <v>23</v>
      </c>
      <c r="AB8" s="163"/>
      <c r="AC8" s="163"/>
      <c r="AD8" s="163"/>
      <c r="AE8" s="163"/>
      <c r="AF8" s="164"/>
    </row>
    <row r="9" spans="2:32" ht="15" thickBot="1">
      <c r="B9" s="35"/>
      <c r="C9" s="165"/>
      <c r="D9" s="166"/>
      <c r="E9" s="166"/>
      <c r="F9" s="166"/>
      <c r="G9" s="166"/>
      <c r="H9" s="167"/>
      <c r="I9" s="165"/>
      <c r="J9" s="166"/>
      <c r="K9" s="166"/>
      <c r="L9" s="166"/>
      <c r="M9" s="166"/>
      <c r="N9" s="167"/>
      <c r="O9" s="165"/>
      <c r="P9" s="166"/>
      <c r="Q9" s="166"/>
      <c r="R9" s="166"/>
      <c r="S9" s="166"/>
      <c r="T9" s="167"/>
      <c r="U9" s="165"/>
      <c r="V9" s="166"/>
      <c r="W9" s="166"/>
      <c r="X9" s="166"/>
      <c r="Y9" s="166"/>
      <c r="Z9" s="167"/>
      <c r="AA9" s="165"/>
      <c r="AB9" s="166"/>
      <c r="AC9" s="166"/>
      <c r="AD9" s="166"/>
      <c r="AE9" s="166"/>
      <c r="AF9" s="167"/>
    </row>
    <row r="10" spans="2:32" s="141" customFormat="1" ht="28.5">
      <c r="B10" s="139"/>
      <c r="C10" s="140" t="s">
        <v>24</v>
      </c>
      <c r="D10" s="141" t="s">
        <v>25</v>
      </c>
      <c r="E10" s="141" t="s">
        <v>26</v>
      </c>
      <c r="F10" s="141" t="s">
        <v>27</v>
      </c>
      <c r="G10" s="141" t="s">
        <v>28</v>
      </c>
      <c r="H10" s="142" t="s">
        <v>29</v>
      </c>
      <c r="I10" s="143" t="s">
        <v>24</v>
      </c>
      <c r="J10" s="141" t="s">
        <v>25</v>
      </c>
      <c r="K10" s="141" t="s">
        <v>26</v>
      </c>
      <c r="L10" s="141" t="s">
        <v>27</v>
      </c>
      <c r="M10" s="141" t="s">
        <v>28</v>
      </c>
      <c r="N10" s="142" t="s">
        <v>29</v>
      </c>
      <c r="O10" s="143" t="s">
        <v>24</v>
      </c>
      <c r="P10" s="141" t="s">
        <v>25</v>
      </c>
      <c r="Q10" s="141" t="s">
        <v>26</v>
      </c>
      <c r="R10" s="141" t="s">
        <v>27</v>
      </c>
      <c r="S10" s="141" t="s">
        <v>28</v>
      </c>
      <c r="T10" s="142" t="s">
        <v>29</v>
      </c>
      <c r="U10" s="143" t="s">
        <v>24</v>
      </c>
      <c r="V10" s="141" t="s">
        <v>25</v>
      </c>
      <c r="W10" s="141" t="s">
        <v>26</v>
      </c>
      <c r="X10" s="141" t="s">
        <v>27</v>
      </c>
      <c r="Y10" s="141" t="s">
        <v>28</v>
      </c>
      <c r="Z10" s="142" t="s">
        <v>29</v>
      </c>
      <c r="AA10" s="143" t="s">
        <v>24</v>
      </c>
      <c r="AB10" s="141" t="s">
        <v>25</v>
      </c>
      <c r="AC10" s="141" t="s">
        <v>26</v>
      </c>
      <c r="AD10" s="141" t="s">
        <v>27</v>
      </c>
      <c r="AE10" s="141" t="s">
        <v>28</v>
      </c>
      <c r="AF10" s="142" t="s">
        <v>29</v>
      </c>
    </row>
    <row r="11" spans="2:32" s="36" customFormat="1">
      <c r="B11" s="35"/>
      <c r="C11" s="37" t="s">
        <v>30</v>
      </c>
      <c r="D11" s="38" t="s">
        <v>31</v>
      </c>
      <c r="E11" s="38" t="s">
        <v>32</v>
      </c>
      <c r="F11" s="38" t="s">
        <v>33</v>
      </c>
      <c r="G11" s="38" t="s">
        <v>34</v>
      </c>
      <c r="H11" s="39" t="s">
        <v>35</v>
      </c>
      <c r="I11" s="37" t="s">
        <v>30</v>
      </c>
      <c r="J11" s="38" t="s">
        <v>31</v>
      </c>
      <c r="K11" s="38" t="s">
        <v>32</v>
      </c>
      <c r="L11" s="38" t="s">
        <v>33</v>
      </c>
      <c r="M11" s="38" t="s">
        <v>34</v>
      </c>
      <c r="N11" s="39" t="s">
        <v>35</v>
      </c>
      <c r="O11" s="37" t="s">
        <v>30</v>
      </c>
      <c r="P11" s="38" t="s">
        <v>31</v>
      </c>
      <c r="Q11" s="38" t="s">
        <v>32</v>
      </c>
      <c r="R11" s="38" t="s">
        <v>33</v>
      </c>
      <c r="S11" s="38" t="s">
        <v>34</v>
      </c>
      <c r="T11" s="39" t="s">
        <v>35</v>
      </c>
      <c r="U11" s="37" t="s">
        <v>30</v>
      </c>
      <c r="V11" s="38" t="s">
        <v>31</v>
      </c>
      <c r="W11" s="38" t="s">
        <v>32</v>
      </c>
      <c r="X11" s="38" t="s">
        <v>33</v>
      </c>
      <c r="Y11" s="38" t="s">
        <v>34</v>
      </c>
      <c r="Z11" s="39" t="s">
        <v>35</v>
      </c>
      <c r="AA11" s="37" t="s">
        <v>30</v>
      </c>
      <c r="AB11" s="38" t="s">
        <v>31</v>
      </c>
      <c r="AC11" s="38" t="s">
        <v>32</v>
      </c>
      <c r="AD11" s="38" t="s">
        <v>33</v>
      </c>
      <c r="AE11" s="38" t="s">
        <v>34</v>
      </c>
      <c r="AF11" s="39" t="s">
        <v>35</v>
      </c>
    </row>
    <row r="12" spans="2:32" s="36" customFormat="1">
      <c r="B12" s="147" t="s">
        <v>36</v>
      </c>
      <c r="C12" s="40">
        <v>0.5</v>
      </c>
      <c r="D12" s="41">
        <v>0.75</v>
      </c>
      <c r="E12" s="41">
        <v>1.5</v>
      </c>
      <c r="F12" s="41">
        <v>3</v>
      </c>
      <c r="G12" s="41">
        <v>5</v>
      </c>
      <c r="H12" s="42"/>
      <c r="I12" s="40">
        <f t="shared" ref="I12:M13" si="0">C12+0.5</f>
        <v>1</v>
      </c>
      <c r="J12" s="41">
        <f t="shared" si="0"/>
        <v>1.25</v>
      </c>
      <c r="K12" s="41">
        <f t="shared" si="0"/>
        <v>2</v>
      </c>
      <c r="L12" s="41">
        <f t="shared" si="0"/>
        <v>3.5</v>
      </c>
      <c r="M12" s="41">
        <f t="shared" si="0"/>
        <v>5.5</v>
      </c>
      <c r="N12" s="42"/>
      <c r="O12" s="40">
        <v>0.5</v>
      </c>
      <c r="P12" s="41">
        <v>0.75</v>
      </c>
      <c r="Q12" s="41">
        <v>1.5</v>
      </c>
      <c r="R12" s="41">
        <v>3</v>
      </c>
      <c r="S12" s="41">
        <v>5</v>
      </c>
      <c r="T12" s="42"/>
      <c r="U12" s="40">
        <f t="shared" ref="U12:Y13" si="1">I12+0.5</f>
        <v>1.5</v>
      </c>
      <c r="V12" s="41">
        <f t="shared" si="1"/>
        <v>1.75</v>
      </c>
      <c r="W12" s="41">
        <f t="shared" si="1"/>
        <v>2.5</v>
      </c>
      <c r="X12" s="41">
        <f t="shared" si="1"/>
        <v>4</v>
      </c>
      <c r="Y12" s="41">
        <f t="shared" si="1"/>
        <v>6</v>
      </c>
      <c r="Z12" s="42"/>
      <c r="AA12" s="40">
        <f t="shared" ref="AA12:AE13" si="2">O12+0.5</f>
        <v>1</v>
      </c>
      <c r="AB12" s="41">
        <f t="shared" si="2"/>
        <v>1.25</v>
      </c>
      <c r="AC12" s="41">
        <f t="shared" si="2"/>
        <v>2</v>
      </c>
      <c r="AD12" s="41">
        <f t="shared" si="2"/>
        <v>3.5</v>
      </c>
      <c r="AE12" s="41">
        <f t="shared" si="2"/>
        <v>5.5</v>
      </c>
      <c r="AF12" s="42"/>
    </row>
    <row r="13" spans="2:32" s="36" customFormat="1" ht="15" thickBot="1">
      <c r="B13" s="148" t="s">
        <v>37</v>
      </c>
      <c r="C13" s="43">
        <f>C12+0.25</f>
        <v>0.75</v>
      </c>
      <c r="D13" s="44">
        <f>D12+0.25</f>
        <v>1</v>
      </c>
      <c r="E13" s="44">
        <f>E12+0.25</f>
        <v>1.75</v>
      </c>
      <c r="F13" s="44">
        <f>F12+0.25</f>
        <v>3.25</v>
      </c>
      <c r="G13" s="44">
        <f>G12+0.25</f>
        <v>5.25</v>
      </c>
      <c r="H13" s="45"/>
      <c r="I13" s="43">
        <f t="shared" si="0"/>
        <v>1.25</v>
      </c>
      <c r="J13" s="44">
        <f t="shared" si="0"/>
        <v>1.5</v>
      </c>
      <c r="K13" s="44">
        <f t="shared" si="0"/>
        <v>2.25</v>
      </c>
      <c r="L13" s="44">
        <f t="shared" si="0"/>
        <v>3.75</v>
      </c>
      <c r="M13" s="44">
        <f t="shared" si="0"/>
        <v>5.75</v>
      </c>
      <c r="N13" s="45"/>
      <c r="O13" s="43">
        <f>O12+0.25</f>
        <v>0.75</v>
      </c>
      <c r="P13" s="44">
        <f>P12+0.25</f>
        <v>1</v>
      </c>
      <c r="Q13" s="44">
        <f>Q12+0.25</f>
        <v>1.75</v>
      </c>
      <c r="R13" s="44">
        <f>R12+0.25</f>
        <v>3.25</v>
      </c>
      <c r="S13" s="44">
        <f>S12+0.25</f>
        <v>5.25</v>
      </c>
      <c r="T13" s="45"/>
      <c r="U13" s="43">
        <f t="shared" si="1"/>
        <v>1.75</v>
      </c>
      <c r="V13" s="44">
        <f t="shared" si="1"/>
        <v>2</v>
      </c>
      <c r="W13" s="44">
        <f t="shared" si="1"/>
        <v>2.75</v>
      </c>
      <c r="X13" s="44">
        <f t="shared" si="1"/>
        <v>4.25</v>
      </c>
      <c r="Y13" s="44">
        <f t="shared" si="1"/>
        <v>6.25</v>
      </c>
      <c r="Z13" s="45"/>
      <c r="AA13" s="43">
        <f t="shared" si="2"/>
        <v>1.25</v>
      </c>
      <c r="AB13" s="44">
        <f t="shared" si="2"/>
        <v>1.5</v>
      </c>
      <c r="AC13" s="44">
        <f t="shared" si="2"/>
        <v>2.25</v>
      </c>
      <c r="AD13" s="44">
        <f t="shared" si="2"/>
        <v>3.75</v>
      </c>
      <c r="AE13" s="44">
        <f t="shared" si="2"/>
        <v>5.75</v>
      </c>
      <c r="AF13" s="45"/>
    </row>
    <row r="14" spans="2:32">
      <c r="B14" s="46" t="s">
        <v>38</v>
      </c>
      <c r="C14" s="47">
        <v>0.5</v>
      </c>
      <c r="D14" s="48">
        <v>0.75</v>
      </c>
      <c r="E14" s="48">
        <v>1.5</v>
      </c>
      <c r="F14" s="48">
        <v>3</v>
      </c>
      <c r="G14" s="48">
        <v>5</v>
      </c>
      <c r="H14" s="49"/>
      <c r="I14" s="47">
        <f t="shared" ref="I14:I15" si="3">C14+0.5</f>
        <v>1</v>
      </c>
      <c r="J14" s="48">
        <f t="shared" ref="J14:J15" si="4">D14+0.5</f>
        <v>1.25</v>
      </c>
      <c r="K14" s="48">
        <f t="shared" ref="K14:K15" si="5">E14+0.5</f>
        <v>2</v>
      </c>
      <c r="L14" s="48">
        <f t="shared" ref="L14:L15" si="6">F14+0.5</f>
        <v>3.5</v>
      </c>
      <c r="M14" s="48">
        <f t="shared" ref="M14:M15" si="7">G14+0.5</f>
        <v>5.5</v>
      </c>
      <c r="N14" s="49"/>
      <c r="O14" s="47">
        <v>0.5</v>
      </c>
      <c r="P14" s="48">
        <v>0.75</v>
      </c>
      <c r="Q14" s="48">
        <v>1.5</v>
      </c>
      <c r="R14" s="48">
        <v>3</v>
      </c>
      <c r="S14" s="48">
        <v>5</v>
      </c>
      <c r="T14" s="49"/>
      <c r="U14" s="47">
        <f t="shared" ref="U14:U15" si="8">I14+0.5</f>
        <v>1.5</v>
      </c>
      <c r="V14" s="48">
        <f t="shared" ref="V14:V15" si="9">J14+0.5</f>
        <v>1.75</v>
      </c>
      <c r="W14" s="48">
        <f t="shared" ref="W14:W15" si="10">K14+0.5</f>
        <v>2.5</v>
      </c>
      <c r="X14" s="48">
        <f t="shared" ref="X14:X15" si="11">L14+0.5</f>
        <v>4</v>
      </c>
      <c r="Y14" s="48">
        <f t="shared" ref="Y14:Y15" si="12">M14+0.5</f>
        <v>6</v>
      </c>
      <c r="Z14" s="49"/>
      <c r="AA14" s="47">
        <f t="shared" ref="AA14:AA15" si="13">O14+0.5</f>
        <v>1</v>
      </c>
      <c r="AB14" s="48">
        <f t="shared" ref="AB14:AB15" si="14">P14+0.5</f>
        <v>1.25</v>
      </c>
      <c r="AC14" s="48">
        <f t="shared" ref="AC14:AC15" si="15">Q14+0.5</f>
        <v>2</v>
      </c>
      <c r="AD14" s="48">
        <f t="shared" ref="AD14:AD15" si="16">R14+0.5</f>
        <v>3.5</v>
      </c>
      <c r="AE14" s="48">
        <f t="shared" ref="AE14:AE15" si="17">S14+0.5</f>
        <v>5.5</v>
      </c>
      <c r="AF14" s="49"/>
    </row>
    <row r="15" spans="2:32" ht="15" thickBot="1">
      <c r="B15" s="50" t="s">
        <v>39</v>
      </c>
      <c r="C15" s="51">
        <f>C14+0.25</f>
        <v>0.75</v>
      </c>
      <c r="D15" s="52">
        <f>D14+0.25</f>
        <v>1</v>
      </c>
      <c r="E15" s="52">
        <f>E14+0.25</f>
        <v>1.75</v>
      </c>
      <c r="F15" s="52">
        <f>F14+0.25</f>
        <v>3.25</v>
      </c>
      <c r="G15" s="52">
        <f>G14+0.25</f>
        <v>5.25</v>
      </c>
      <c r="H15" s="53"/>
      <c r="I15" s="51">
        <f t="shared" si="3"/>
        <v>1.25</v>
      </c>
      <c r="J15" s="52">
        <f t="shared" si="4"/>
        <v>1.5</v>
      </c>
      <c r="K15" s="52">
        <f t="shared" si="5"/>
        <v>2.25</v>
      </c>
      <c r="L15" s="52">
        <f t="shared" si="6"/>
        <v>3.75</v>
      </c>
      <c r="M15" s="52">
        <f t="shared" si="7"/>
        <v>5.75</v>
      </c>
      <c r="N15" s="53"/>
      <c r="O15" s="51">
        <f>O14+0.25</f>
        <v>0.75</v>
      </c>
      <c r="P15" s="52">
        <f>P14+0.25</f>
        <v>1</v>
      </c>
      <c r="Q15" s="52">
        <f>Q14+0.25</f>
        <v>1.75</v>
      </c>
      <c r="R15" s="52">
        <f>R14+0.25</f>
        <v>3.25</v>
      </c>
      <c r="S15" s="52">
        <f>S14+0.25</f>
        <v>5.25</v>
      </c>
      <c r="T15" s="53"/>
      <c r="U15" s="51">
        <f t="shared" si="8"/>
        <v>1.75</v>
      </c>
      <c r="V15" s="52">
        <f t="shared" si="9"/>
        <v>2</v>
      </c>
      <c r="W15" s="52">
        <f t="shared" si="10"/>
        <v>2.75</v>
      </c>
      <c r="X15" s="52">
        <f t="shared" si="11"/>
        <v>4.25</v>
      </c>
      <c r="Y15" s="52">
        <f t="shared" si="12"/>
        <v>6.25</v>
      </c>
      <c r="Z15" s="53"/>
      <c r="AA15" s="51">
        <f t="shared" si="13"/>
        <v>1.25</v>
      </c>
      <c r="AB15" s="52">
        <f t="shared" si="14"/>
        <v>1.5</v>
      </c>
      <c r="AC15" s="52">
        <f t="shared" si="15"/>
        <v>2.25</v>
      </c>
      <c r="AD15" s="52">
        <f t="shared" si="16"/>
        <v>3.75</v>
      </c>
      <c r="AE15" s="52">
        <f t="shared" si="17"/>
        <v>5.75</v>
      </c>
      <c r="AF15" s="53"/>
    </row>
    <row r="16" spans="2:32">
      <c r="B16" s="54"/>
    </row>
    <row r="17" spans="2:2">
      <c r="B17" s="55" t="s">
        <v>40</v>
      </c>
    </row>
    <row r="18" spans="2:2">
      <c r="B18" s="55" t="s">
        <v>41</v>
      </c>
    </row>
    <row r="19" spans="2:2">
      <c r="B19" s="54"/>
    </row>
    <row r="20" spans="2:2">
      <c r="B20" s="54"/>
    </row>
    <row r="21" spans="2:2">
      <c r="B21" s="54"/>
    </row>
    <row r="22" spans="2:2">
      <c r="B22" s="54"/>
    </row>
    <row r="23" spans="2:2">
      <c r="B23" s="54"/>
    </row>
    <row r="24" spans="2:2">
      <c r="B24" s="54"/>
    </row>
    <row r="25" spans="2:2">
      <c r="B25" s="54"/>
    </row>
    <row r="26" spans="2:2">
      <c r="B26" s="54"/>
    </row>
    <row r="27" spans="2:2">
      <c r="B27" s="54"/>
    </row>
    <row r="28" spans="2:2">
      <c r="B28" s="54"/>
    </row>
    <row r="29" spans="2:2">
      <c r="B29" s="54"/>
    </row>
    <row r="30" spans="2:2">
      <c r="B30" s="54"/>
    </row>
    <row r="31" spans="2:2">
      <c r="B31" s="54"/>
    </row>
    <row r="32" spans="2:2">
      <c r="B32" s="54"/>
    </row>
    <row r="33" spans="2:2">
      <c r="B33" s="54"/>
    </row>
    <row r="34" spans="2:2">
      <c r="B34" s="54"/>
    </row>
    <row r="35" spans="2:2">
      <c r="B35" s="54"/>
    </row>
    <row r="36" spans="2:2">
      <c r="B36" s="54"/>
    </row>
    <row r="37" spans="2:2">
      <c r="B37" s="54"/>
    </row>
    <row r="38" spans="2:2">
      <c r="B38" s="54"/>
    </row>
    <row r="39" spans="2:2">
      <c r="B39" s="54"/>
    </row>
    <row r="40" spans="2:2">
      <c r="B40" s="54"/>
    </row>
    <row r="41" spans="2:2">
      <c r="B41" s="54"/>
    </row>
    <row r="42" spans="2:2">
      <c r="B42" s="54"/>
    </row>
    <row r="43" spans="2:2">
      <c r="B43" s="54"/>
    </row>
    <row r="44" spans="2:2">
      <c r="B44" s="54"/>
    </row>
    <row r="45" spans="2:2">
      <c r="B45" s="54"/>
    </row>
    <row r="46" spans="2:2">
      <c r="B46" s="54"/>
    </row>
    <row r="47" spans="2:2">
      <c r="B47" s="54"/>
    </row>
    <row r="48" spans="2:2">
      <c r="B48" s="54"/>
    </row>
    <row r="49" spans="2:2">
      <c r="B49" s="54"/>
    </row>
    <row r="50" spans="2:2">
      <c r="B50" s="54"/>
    </row>
    <row r="51" spans="2:2">
      <c r="B51" s="54"/>
    </row>
    <row r="52" spans="2:2">
      <c r="B52" s="54"/>
    </row>
    <row r="53" spans="2:2">
      <c r="B53" s="54"/>
    </row>
    <row r="54" spans="2:2">
      <c r="B54" s="54"/>
    </row>
    <row r="55" spans="2:2">
      <c r="B55" s="54"/>
    </row>
    <row r="56" spans="2:2">
      <c r="B56" s="54"/>
    </row>
    <row r="57" spans="2:2">
      <c r="B57" s="54"/>
    </row>
    <row r="58" spans="2:2">
      <c r="B58" s="54"/>
    </row>
    <row r="59" spans="2:2">
      <c r="B59" s="54"/>
    </row>
    <row r="60" spans="2:2">
      <c r="B60" s="54"/>
    </row>
    <row r="61" spans="2:2">
      <c r="B61" s="54"/>
    </row>
    <row r="62" spans="2:2">
      <c r="B62" s="54"/>
    </row>
    <row r="63" spans="2:2">
      <c r="B63" s="54"/>
    </row>
    <row r="64" spans="2:2">
      <c r="B64" s="54"/>
    </row>
    <row r="65" spans="2:2">
      <c r="B65" s="54"/>
    </row>
    <row r="66" spans="2:2">
      <c r="B66" s="54"/>
    </row>
    <row r="67" spans="2:2">
      <c r="B67" s="54"/>
    </row>
    <row r="68" spans="2:2">
      <c r="B68" s="54"/>
    </row>
    <row r="69" spans="2:2">
      <c r="B69" s="54"/>
    </row>
    <row r="70" spans="2:2">
      <c r="B70" s="54"/>
    </row>
    <row r="71" spans="2:2">
      <c r="B71" s="54"/>
    </row>
    <row r="72" spans="2:2">
      <c r="B72" s="54"/>
    </row>
    <row r="73" spans="2:2">
      <c r="B73" s="54"/>
    </row>
    <row r="74" spans="2:2">
      <c r="B74" s="54"/>
    </row>
    <row r="75" spans="2:2">
      <c r="B75" s="54"/>
    </row>
    <row r="76" spans="2:2">
      <c r="B76" s="54"/>
    </row>
    <row r="77" spans="2:2">
      <c r="B77" s="54"/>
    </row>
    <row r="78" spans="2:2">
      <c r="B78" s="54"/>
    </row>
    <row r="79" spans="2:2">
      <c r="B79" s="54"/>
    </row>
    <row r="80" spans="2:2">
      <c r="B80" s="54"/>
    </row>
    <row r="81" spans="2:2">
      <c r="B81" s="54"/>
    </row>
    <row r="82" spans="2:2">
      <c r="B82" s="54"/>
    </row>
    <row r="83" spans="2:2">
      <c r="B83" s="54"/>
    </row>
    <row r="84" spans="2:2">
      <c r="B84" s="54"/>
    </row>
    <row r="85" spans="2:2">
      <c r="B85" s="54"/>
    </row>
    <row r="86" spans="2:2">
      <c r="B86" s="54"/>
    </row>
    <row r="87" spans="2:2">
      <c r="B87" s="54"/>
    </row>
    <row r="88" spans="2:2">
      <c r="B88" s="54"/>
    </row>
    <row r="89" spans="2:2">
      <c r="B89" s="54"/>
    </row>
    <row r="90" spans="2:2">
      <c r="B90" s="54"/>
    </row>
    <row r="91" spans="2:2">
      <c r="B91" s="54"/>
    </row>
    <row r="92" spans="2:2">
      <c r="B92" s="54"/>
    </row>
    <row r="93" spans="2:2">
      <c r="B93" s="54"/>
    </row>
    <row r="94" spans="2:2">
      <c r="B94" s="54"/>
    </row>
    <row r="95" spans="2:2">
      <c r="B95" s="54"/>
    </row>
    <row r="96" spans="2:2">
      <c r="B96" s="54"/>
    </row>
    <row r="97" spans="2:2">
      <c r="B97" s="54"/>
    </row>
    <row r="98" spans="2:2">
      <c r="B98" s="54"/>
    </row>
    <row r="99" spans="2:2">
      <c r="B99" s="54"/>
    </row>
    <row r="100" spans="2:2">
      <c r="B100" s="54"/>
    </row>
    <row r="101" spans="2:2">
      <c r="B101" s="54"/>
    </row>
    <row r="102" spans="2:2">
      <c r="B102" s="54"/>
    </row>
    <row r="103" spans="2:2">
      <c r="B103" s="54"/>
    </row>
    <row r="104" spans="2:2">
      <c r="B104" s="54"/>
    </row>
    <row r="105" spans="2:2">
      <c r="B105" s="54"/>
    </row>
    <row r="106" spans="2:2">
      <c r="B106" s="54"/>
    </row>
    <row r="107" spans="2:2">
      <c r="B107" s="54"/>
    </row>
    <row r="108" spans="2:2">
      <c r="B108" s="54"/>
    </row>
    <row r="109" spans="2:2">
      <c r="B109" s="54"/>
    </row>
    <row r="110" spans="2:2">
      <c r="B110" s="54"/>
    </row>
    <row r="111" spans="2:2">
      <c r="B111" s="54"/>
    </row>
    <row r="112" spans="2:2">
      <c r="B112" s="54"/>
    </row>
    <row r="113" spans="2:2">
      <c r="B113" s="54"/>
    </row>
    <row r="114" spans="2:2">
      <c r="B114" s="54"/>
    </row>
    <row r="115" spans="2:2">
      <c r="B115" s="54"/>
    </row>
    <row r="116" spans="2:2">
      <c r="B116" s="54"/>
    </row>
    <row r="117" spans="2:2">
      <c r="B117" s="54"/>
    </row>
    <row r="118" spans="2:2">
      <c r="B118" s="54"/>
    </row>
    <row r="119" spans="2:2">
      <c r="B119" s="54"/>
    </row>
    <row r="120" spans="2:2">
      <c r="B120" s="54"/>
    </row>
    <row r="121" spans="2:2">
      <c r="B121" s="54"/>
    </row>
    <row r="122" spans="2:2">
      <c r="B122" s="54"/>
    </row>
    <row r="123" spans="2:2">
      <c r="B123" s="54"/>
    </row>
    <row r="124" spans="2:2">
      <c r="B124" s="54"/>
    </row>
    <row r="125" spans="2:2">
      <c r="B125" s="54"/>
    </row>
    <row r="126" spans="2:2">
      <c r="B126" s="54"/>
    </row>
    <row r="127" spans="2:2">
      <c r="B127" s="54"/>
    </row>
    <row r="128" spans="2:2">
      <c r="B128" s="54"/>
    </row>
    <row r="129" spans="2:2">
      <c r="B129" s="54"/>
    </row>
    <row r="130" spans="2:2">
      <c r="B130" s="54"/>
    </row>
    <row r="131" spans="2:2">
      <c r="B131" s="54"/>
    </row>
    <row r="132" spans="2:2">
      <c r="B132" s="54"/>
    </row>
    <row r="133" spans="2:2">
      <c r="B133" s="54"/>
    </row>
    <row r="134" spans="2:2">
      <c r="B134" s="54"/>
    </row>
    <row r="135" spans="2:2">
      <c r="B135" s="54"/>
    </row>
    <row r="136" spans="2:2">
      <c r="B136" s="54"/>
    </row>
    <row r="137" spans="2:2">
      <c r="B137" s="54"/>
    </row>
    <row r="138" spans="2:2">
      <c r="B138" s="54"/>
    </row>
    <row r="139" spans="2:2">
      <c r="B139" s="54"/>
    </row>
    <row r="140" spans="2:2">
      <c r="B140" s="54"/>
    </row>
    <row r="141" spans="2:2">
      <c r="B141" s="54"/>
    </row>
    <row r="142" spans="2:2">
      <c r="B142" s="54"/>
    </row>
    <row r="143" spans="2:2">
      <c r="B143" s="54"/>
    </row>
    <row r="144" spans="2:2">
      <c r="B144" s="54"/>
    </row>
    <row r="145" spans="2:2">
      <c r="B145" s="54"/>
    </row>
    <row r="146" spans="2:2">
      <c r="B146" s="54"/>
    </row>
    <row r="147" spans="2:2">
      <c r="B147" s="54"/>
    </row>
  </sheetData>
  <sheetProtection sheet="1" objects="1" scenarios="1"/>
  <mergeCells count="5">
    <mergeCell ref="C8:H9"/>
    <mergeCell ref="I8:N9"/>
    <mergeCell ref="O8:T9"/>
    <mergeCell ref="U8:Z9"/>
    <mergeCell ref="AA8:AF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B1:AN78"/>
  <sheetViews>
    <sheetView showGridLines="0" zoomScaleNormal="100" workbookViewId="0">
      <pane xSplit="5" ySplit="16" topLeftCell="F17" activePane="bottomRight" state="frozen"/>
      <selection pane="bottomRight" activeCell="F17" sqref="F17"/>
      <selection pane="bottomLeft" activeCell="B16" sqref="B16"/>
      <selection pane="topRight" activeCell="B16" sqref="B16"/>
    </sheetView>
  </sheetViews>
  <sheetFormatPr defaultColWidth="10.85546875" defaultRowHeight="14.25"/>
  <cols>
    <col min="1" max="1" width="3.140625" style="2" customWidth="1"/>
    <col min="2" max="2" width="13.5703125" style="2" customWidth="1"/>
    <col min="3" max="3" width="14.85546875" style="2" bestFit="1" customWidth="1"/>
    <col min="4" max="4" width="25" style="2" bestFit="1" customWidth="1"/>
    <col min="5" max="5" width="16.5703125" style="2" customWidth="1"/>
    <col min="6" max="35" width="6.7109375" style="2" customWidth="1"/>
    <col min="36" max="36" width="9.5703125" style="17" customWidth="1"/>
    <col min="37" max="37" width="10.140625" style="17" customWidth="1"/>
    <col min="38" max="38" width="13.85546875" style="17" customWidth="1"/>
    <col min="39" max="39" width="12.7109375" style="17" customWidth="1"/>
    <col min="40" max="40" width="39.42578125" style="2" customWidth="1"/>
    <col min="41" max="16384" width="10.85546875" style="2"/>
  </cols>
  <sheetData>
    <row r="1" spans="2:40" s="33" customFormat="1">
      <c r="B1" s="56"/>
    </row>
    <row r="2" spans="2:40" s="33" customFormat="1">
      <c r="B2" s="56"/>
    </row>
    <row r="3" spans="2:40" s="33" customFormat="1" ht="26.25">
      <c r="B3" s="56"/>
      <c r="E3" s="86" t="s">
        <v>42</v>
      </c>
    </row>
    <row r="4" spans="2:40" s="33" customFormat="1">
      <c r="B4" s="56"/>
    </row>
    <row r="5" spans="2:40">
      <c r="B5" s="1"/>
      <c r="F5" s="59"/>
    </row>
    <row r="6" spans="2:40" s="18" customFormat="1">
      <c r="D6" s="19"/>
      <c r="E6" s="2"/>
      <c r="F6" s="168" t="s">
        <v>43</v>
      </c>
      <c r="G6" s="168"/>
      <c r="H6" s="168"/>
      <c r="I6" s="168"/>
      <c r="J6" s="168"/>
      <c r="K6" s="168"/>
      <c r="L6" s="168" t="s">
        <v>44</v>
      </c>
      <c r="M6" s="168"/>
      <c r="N6" s="168"/>
      <c r="O6" s="168"/>
      <c r="P6" s="168"/>
      <c r="Q6" s="168"/>
      <c r="R6" s="168" t="s">
        <v>45</v>
      </c>
      <c r="S6" s="168"/>
      <c r="T6" s="168"/>
      <c r="U6" s="168"/>
      <c r="V6" s="168"/>
      <c r="W6" s="168"/>
      <c r="X6" s="168" t="s">
        <v>46</v>
      </c>
      <c r="Y6" s="168"/>
      <c r="Z6" s="168"/>
      <c r="AA6" s="168"/>
      <c r="AB6" s="168"/>
      <c r="AC6" s="168"/>
      <c r="AD6" s="168" t="s">
        <v>47</v>
      </c>
      <c r="AE6" s="168"/>
      <c r="AF6" s="168"/>
      <c r="AG6" s="168"/>
      <c r="AH6" s="168"/>
      <c r="AI6" s="168"/>
      <c r="AJ6" s="90" t="s">
        <v>48</v>
      </c>
      <c r="AK6" s="91" t="s">
        <v>49</v>
      </c>
      <c r="AL6" s="91" t="s">
        <v>50</v>
      </c>
      <c r="AM6" s="90" t="s">
        <v>51</v>
      </c>
      <c r="AN6" s="92" t="s">
        <v>52</v>
      </c>
    </row>
    <row r="7" spans="2:40" s="18" customFormat="1">
      <c r="E7" s="2"/>
      <c r="F7" s="169" t="s">
        <v>19</v>
      </c>
      <c r="G7" s="169"/>
      <c r="H7" s="169"/>
      <c r="I7" s="169"/>
      <c r="J7" s="169"/>
      <c r="K7" s="169"/>
      <c r="L7" s="169" t="s">
        <v>20</v>
      </c>
      <c r="M7" s="169"/>
      <c r="N7" s="169"/>
      <c r="O7" s="169"/>
      <c r="P7" s="169"/>
      <c r="Q7" s="169"/>
      <c r="R7" s="169" t="s">
        <v>21</v>
      </c>
      <c r="S7" s="169"/>
      <c r="T7" s="169"/>
      <c r="U7" s="169"/>
      <c r="V7" s="169"/>
      <c r="W7" s="169"/>
      <c r="X7" s="169" t="s">
        <v>22</v>
      </c>
      <c r="Y7" s="169"/>
      <c r="Z7" s="169"/>
      <c r="AA7" s="169"/>
      <c r="AB7" s="169"/>
      <c r="AC7" s="169"/>
      <c r="AD7" s="169" t="s">
        <v>23</v>
      </c>
      <c r="AE7" s="169"/>
      <c r="AF7" s="169"/>
      <c r="AG7" s="169"/>
      <c r="AH7" s="169"/>
      <c r="AI7" s="169"/>
      <c r="AJ7" s="93"/>
      <c r="AK7" s="20"/>
      <c r="AL7" s="20"/>
      <c r="AM7" s="93"/>
      <c r="AN7" s="94"/>
    </row>
    <row r="8" spans="2:40" s="18" customFormat="1">
      <c r="E8" s="144" t="s">
        <v>53</v>
      </c>
      <c r="F8" s="57" t="s">
        <v>30</v>
      </c>
      <c r="G8" s="57" t="s">
        <v>31</v>
      </c>
      <c r="H8" s="57" t="s">
        <v>32</v>
      </c>
      <c r="I8" s="57" t="s">
        <v>33</v>
      </c>
      <c r="J8" s="57" t="s">
        <v>34</v>
      </c>
      <c r="K8" s="57" t="s">
        <v>35</v>
      </c>
      <c r="L8" s="57" t="s">
        <v>30</v>
      </c>
      <c r="M8" s="57" t="s">
        <v>31</v>
      </c>
      <c r="N8" s="57" t="s">
        <v>32</v>
      </c>
      <c r="O8" s="57" t="s">
        <v>33</v>
      </c>
      <c r="P8" s="57" t="s">
        <v>34</v>
      </c>
      <c r="Q8" s="57" t="s">
        <v>35</v>
      </c>
      <c r="R8" s="21" t="s">
        <v>30</v>
      </c>
      <c r="S8" s="57" t="s">
        <v>31</v>
      </c>
      <c r="T8" s="57" t="s">
        <v>32</v>
      </c>
      <c r="U8" s="57" t="s">
        <v>33</v>
      </c>
      <c r="V8" s="57" t="s">
        <v>34</v>
      </c>
      <c r="W8" s="57" t="s">
        <v>35</v>
      </c>
      <c r="X8" s="57" t="s">
        <v>30</v>
      </c>
      <c r="Y8" s="57" t="s">
        <v>31</v>
      </c>
      <c r="Z8" s="57" t="s">
        <v>32</v>
      </c>
      <c r="AA8" s="57" t="s">
        <v>33</v>
      </c>
      <c r="AB8" s="57" t="s">
        <v>34</v>
      </c>
      <c r="AC8" s="57" t="s">
        <v>35</v>
      </c>
      <c r="AD8" s="57" t="s">
        <v>30</v>
      </c>
      <c r="AE8" s="57" t="s">
        <v>31</v>
      </c>
      <c r="AF8" s="57" t="s">
        <v>32</v>
      </c>
      <c r="AG8" s="57" t="s">
        <v>33</v>
      </c>
      <c r="AH8" s="57" t="s">
        <v>34</v>
      </c>
      <c r="AI8" s="57" t="s">
        <v>35</v>
      </c>
      <c r="AJ8" s="68"/>
      <c r="AK8" s="22"/>
      <c r="AL8" s="22"/>
      <c r="AM8" s="68"/>
      <c r="AN8" s="60"/>
    </row>
    <row r="9" spans="2:40">
      <c r="B9" s="18"/>
      <c r="C9" s="18"/>
      <c r="D9" s="18"/>
      <c r="E9" s="145" t="s">
        <v>54</v>
      </c>
      <c r="F9" s="89">
        <f t="shared" ref="F9:O12" si="0">SUMIF($E$15:$E$1048576,$E9,F$15:F$1048576)</f>
        <v>0</v>
      </c>
      <c r="G9" s="89">
        <f t="shared" si="0"/>
        <v>0</v>
      </c>
      <c r="H9" s="89">
        <f t="shared" si="0"/>
        <v>0</v>
      </c>
      <c r="I9" s="89">
        <f t="shared" si="0"/>
        <v>0</v>
      </c>
      <c r="J9" s="89">
        <f t="shared" si="0"/>
        <v>0</v>
      </c>
      <c r="K9" s="89">
        <f t="shared" si="0"/>
        <v>0</v>
      </c>
      <c r="L9" s="89">
        <f t="shared" si="0"/>
        <v>0</v>
      </c>
      <c r="M9" s="89">
        <f t="shared" si="0"/>
        <v>0</v>
      </c>
      <c r="N9" s="89">
        <f t="shared" si="0"/>
        <v>0</v>
      </c>
      <c r="O9" s="89">
        <f t="shared" si="0"/>
        <v>0</v>
      </c>
      <c r="P9" s="89">
        <f t="shared" ref="P9:Y12" si="1">SUMIF($E$15:$E$1048576,$E9,P$15:P$1048576)</f>
        <v>0</v>
      </c>
      <c r="Q9" s="89">
        <f t="shared" si="1"/>
        <v>0</v>
      </c>
      <c r="R9" s="89">
        <f t="shared" si="1"/>
        <v>0</v>
      </c>
      <c r="S9" s="89">
        <f t="shared" si="1"/>
        <v>0</v>
      </c>
      <c r="T9" s="89">
        <f t="shared" si="1"/>
        <v>0</v>
      </c>
      <c r="U9" s="89">
        <f t="shared" si="1"/>
        <v>0</v>
      </c>
      <c r="V9" s="89">
        <f t="shared" si="1"/>
        <v>0</v>
      </c>
      <c r="W9" s="89">
        <f t="shared" si="1"/>
        <v>0</v>
      </c>
      <c r="X9" s="89">
        <f t="shared" si="1"/>
        <v>0</v>
      </c>
      <c r="Y9" s="89">
        <f t="shared" si="1"/>
        <v>0</v>
      </c>
      <c r="Z9" s="89">
        <f t="shared" ref="Z9:AI12" si="2">SUMIF($E$15:$E$1048576,$E9,Z$15:Z$1048576)</f>
        <v>0</v>
      </c>
      <c r="AA9" s="89">
        <f t="shared" si="2"/>
        <v>0</v>
      </c>
      <c r="AB9" s="89">
        <f t="shared" si="2"/>
        <v>0</v>
      </c>
      <c r="AC9" s="89">
        <f t="shared" si="2"/>
        <v>0</v>
      </c>
      <c r="AD9" s="89">
        <f t="shared" si="2"/>
        <v>0</v>
      </c>
      <c r="AE9" s="89">
        <f t="shared" si="2"/>
        <v>0</v>
      </c>
      <c r="AF9" s="89">
        <f t="shared" si="2"/>
        <v>0</v>
      </c>
      <c r="AG9" s="89">
        <f t="shared" si="2"/>
        <v>0</v>
      </c>
      <c r="AH9" s="89">
        <f t="shared" si="2"/>
        <v>0</v>
      </c>
      <c r="AI9" s="89">
        <f t="shared" si="2"/>
        <v>0</v>
      </c>
      <c r="AJ9" s="32">
        <f>SUM(F9:AI9)</f>
        <v>0</v>
      </c>
      <c r="AK9" s="23"/>
      <c r="AL9" s="24"/>
      <c r="AM9" s="23"/>
      <c r="AN9" s="95"/>
    </row>
    <row r="10" spans="2:40">
      <c r="B10" s="18"/>
      <c r="C10" s="18"/>
      <c r="D10" s="18"/>
      <c r="E10" s="145" t="s">
        <v>55</v>
      </c>
      <c r="F10" s="89">
        <f t="shared" si="0"/>
        <v>0</v>
      </c>
      <c r="G10" s="89">
        <f t="shared" si="0"/>
        <v>0</v>
      </c>
      <c r="H10" s="89">
        <f t="shared" si="0"/>
        <v>0</v>
      </c>
      <c r="I10" s="89">
        <f t="shared" si="0"/>
        <v>0</v>
      </c>
      <c r="J10" s="89">
        <f t="shared" si="0"/>
        <v>0</v>
      </c>
      <c r="K10" s="89">
        <f t="shared" si="0"/>
        <v>0</v>
      </c>
      <c r="L10" s="89">
        <f t="shared" si="0"/>
        <v>0</v>
      </c>
      <c r="M10" s="89">
        <f t="shared" si="0"/>
        <v>0</v>
      </c>
      <c r="N10" s="89">
        <f t="shared" si="0"/>
        <v>0</v>
      </c>
      <c r="O10" s="89">
        <f t="shared" si="0"/>
        <v>0</v>
      </c>
      <c r="P10" s="89">
        <f t="shared" si="1"/>
        <v>0</v>
      </c>
      <c r="Q10" s="89">
        <f t="shared" si="1"/>
        <v>0</v>
      </c>
      <c r="R10" s="89">
        <f t="shared" si="1"/>
        <v>0</v>
      </c>
      <c r="S10" s="89">
        <f t="shared" si="1"/>
        <v>0</v>
      </c>
      <c r="T10" s="89">
        <f t="shared" si="1"/>
        <v>0</v>
      </c>
      <c r="U10" s="89">
        <f t="shared" si="1"/>
        <v>0</v>
      </c>
      <c r="V10" s="89">
        <f t="shared" si="1"/>
        <v>0</v>
      </c>
      <c r="W10" s="89">
        <f t="shared" si="1"/>
        <v>0</v>
      </c>
      <c r="X10" s="89">
        <f t="shared" si="1"/>
        <v>0</v>
      </c>
      <c r="Y10" s="89">
        <f t="shared" si="1"/>
        <v>0</v>
      </c>
      <c r="Z10" s="89">
        <f t="shared" si="2"/>
        <v>0</v>
      </c>
      <c r="AA10" s="89">
        <f t="shared" si="2"/>
        <v>0</v>
      </c>
      <c r="AB10" s="89">
        <f t="shared" si="2"/>
        <v>0</v>
      </c>
      <c r="AC10" s="89">
        <f t="shared" si="2"/>
        <v>0</v>
      </c>
      <c r="AD10" s="89">
        <f t="shared" si="2"/>
        <v>0</v>
      </c>
      <c r="AE10" s="89">
        <f t="shared" si="2"/>
        <v>0</v>
      </c>
      <c r="AF10" s="89">
        <f t="shared" si="2"/>
        <v>0</v>
      </c>
      <c r="AG10" s="89">
        <f t="shared" si="2"/>
        <v>0</v>
      </c>
      <c r="AH10" s="89">
        <f t="shared" si="2"/>
        <v>0</v>
      </c>
      <c r="AI10" s="89">
        <f t="shared" si="2"/>
        <v>0</v>
      </c>
      <c r="AJ10" s="32">
        <f t="shared" ref="AJ10" si="3">SUM(F10:AI10)</f>
        <v>0</v>
      </c>
      <c r="AK10" s="23"/>
      <c r="AL10" s="24"/>
      <c r="AM10" s="23"/>
      <c r="AN10" s="95"/>
    </row>
    <row r="11" spans="2:40">
      <c r="B11" s="18"/>
      <c r="C11" s="18"/>
      <c r="D11" s="18"/>
      <c r="E11" s="146" t="s">
        <v>56</v>
      </c>
      <c r="F11" s="25">
        <f t="shared" si="0"/>
        <v>0</v>
      </c>
      <c r="G11" s="25">
        <f t="shared" si="0"/>
        <v>0</v>
      </c>
      <c r="H11" s="25">
        <f t="shared" si="0"/>
        <v>0</v>
      </c>
      <c r="I11" s="25">
        <f t="shared" si="0"/>
        <v>0</v>
      </c>
      <c r="J11" s="25">
        <f t="shared" si="0"/>
        <v>0</v>
      </c>
      <c r="K11" s="25">
        <f t="shared" si="0"/>
        <v>0</v>
      </c>
      <c r="L11" s="25">
        <f t="shared" si="0"/>
        <v>0</v>
      </c>
      <c r="M11" s="25">
        <f t="shared" si="0"/>
        <v>0</v>
      </c>
      <c r="N11" s="25">
        <f t="shared" si="0"/>
        <v>0</v>
      </c>
      <c r="O11" s="25">
        <f t="shared" si="0"/>
        <v>0</v>
      </c>
      <c r="P11" s="25">
        <f t="shared" si="1"/>
        <v>0</v>
      </c>
      <c r="Q11" s="25">
        <f t="shared" si="1"/>
        <v>0</v>
      </c>
      <c r="R11" s="25">
        <f t="shared" si="1"/>
        <v>0</v>
      </c>
      <c r="S11" s="25">
        <f t="shared" si="1"/>
        <v>0</v>
      </c>
      <c r="T11" s="25">
        <f t="shared" si="1"/>
        <v>0</v>
      </c>
      <c r="U11" s="25">
        <f t="shared" si="1"/>
        <v>0</v>
      </c>
      <c r="V11" s="25">
        <f t="shared" si="1"/>
        <v>0</v>
      </c>
      <c r="W11" s="25">
        <f t="shared" si="1"/>
        <v>0</v>
      </c>
      <c r="X11" s="25">
        <f t="shared" si="1"/>
        <v>0</v>
      </c>
      <c r="Y11" s="25">
        <f t="shared" si="1"/>
        <v>0</v>
      </c>
      <c r="Z11" s="25">
        <f t="shared" si="2"/>
        <v>0</v>
      </c>
      <c r="AA11" s="25">
        <f t="shared" si="2"/>
        <v>0</v>
      </c>
      <c r="AB11" s="25">
        <f t="shared" si="2"/>
        <v>0</v>
      </c>
      <c r="AC11" s="25">
        <f t="shared" si="2"/>
        <v>0</v>
      </c>
      <c r="AD11" s="25">
        <f t="shared" si="2"/>
        <v>0</v>
      </c>
      <c r="AE11" s="25">
        <f t="shared" si="2"/>
        <v>0</v>
      </c>
      <c r="AF11" s="25">
        <f t="shared" si="2"/>
        <v>0</v>
      </c>
      <c r="AG11" s="25">
        <f t="shared" si="2"/>
        <v>0</v>
      </c>
      <c r="AH11" s="25">
        <f t="shared" si="2"/>
        <v>0</v>
      </c>
      <c r="AI11" s="25">
        <f t="shared" si="2"/>
        <v>0</v>
      </c>
      <c r="AJ11" s="96"/>
      <c r="AK11" s="26">
        <f>SUM(F11:AI11)</f>
        <v>0</v>
      </c>
      <c r="AL11" s="26">
        <f>SUMIF($E$15:$E$1048576,$E11,AL$15:AL$1048576)</f>
        <v>0</v>
      </c>
      <c r="AM11" s="26">
        <f>AL11*Ajustes!$H$25</f>
        <v>0</v>
      </c>
      <c r="AN11" s="30"/>
    </row>
    <row r="12" spans="2:40">
      <c r="B12" s="18"/>
      <c r="C12" s="18"/>
      <c r="D12" s="18"/>
      <c r="E12" s="146" t="s">
        <v>57</v>
      </c>
      <c r="F12" s="25">
        <f t="shared" si="0"/>
        <v>0</v>
      </c>
      <c r="G12" s="25">
        <f t="shared" si="0"/>
        <v>0</v>
      </c>
      <c r="H12" s="25">
        <f t="shared" si="0"/>
        <v>0</v>
      </c>
      <c r="I12" s="25">
        <f t="shared" si="0"/>
        <v>0</v>
      </c>
      <c r="J12" s="25">
        <f t="shared" si="0"/>
        <v>0</v>
      </c>
      <c r="K12" s="25">
        <f t="shared" si="0"/>
        <v>0</v>
      </c>
      <c r="L12" s="25">
        <f t="shared" si="0"/>
        <v>0</v>
      </c>
      <c r="M12" s="25">
        <f t="shared" si="0"/>
        <v>0</v>
      </c>
      <c r="N12" s="25">
        <f t="shared" si="0"/>
        <v>0</v>
      </c>
      <c r="O12" s="25">
        <f t="shared" si="0"/>
        <v>0</v>
      </c>
      <c r="P12" s="25">
        <f t="shared" si="1"/>
        <v>0</v>
      </c>
      <c r="Q12" s="25">
        <f t="shared" si="1"/>
        <v>0</v>
      </c>
      <c r="R12" s="25">
        <f t="shared" si="1"/>
        <v>0</v>
      </c>
      <c r="S12" s="25">
        <f t="shared" si="1"/>
        <v>0</v>
      </c>
      <c r="T12" s="25">
        <f t="shared" si="1"/>
        <v>0</v>
      </c>
      <c r="U12" s="25">
        <f t="shared" si="1"/>
        <v>0</v>
      </c>
      <c r="V12" s="25">
        <f t="shared" si="1"/>
        <v>0</v>
      </c>
      <c r="W12" s="25">
        <f t="shared" si="1"/>
        <v>0</v>
      </c>
      <c r="X12" s="25">
        <f t="shared" si="1"/>
        <v>0</v>
      </c>
      <c r="Y12" s="25">
        <f t="shared" si="1"/>
        <v>0</v>
      </c>
      <c r="Z12" s="25">
        <f t="shared" si="2"/>
        <v>0</v>
      </c>
      <c r="AA12" s="25">
        <f t="shared" si="2"/>
        <v>0</v>
      </c>
      <c r="AB12" s="25">
        <f t="shared" si="2"/>
        <v>0</v>
      </c>
      <c r="AC12" s="25">
        <f t="shared" si="2"/>
        <v>0</v>
      </c>
      <c r="AD12" s="25">
        <f t="shared" si="2"/>
        <v>0</v>
      </c>
      <c r="AE12" s="25">
        <f t="shared" si="2"/>
        <v>0</v>
      </c>
      <c r="AF12" s="25">
        <f t="shared" si="2"/>
        <v>0</v>
      </c>
      <c r="AG12" s="25">
        <f t="shared" si="2"/>
        <v>0</v>
      </c>
      <c r="AH12" s="25">
        <f t="shared" si="2"/>
        <v>0</v>
      </c>
      <c r="AI12" s="25">
        <f t="shared" si="2"/>
        <v>0</v>
      </c>
      <c r="AJ12" s="96"/>
      <c r="AK12" s="26">
        <f>SUM(F12:AI12)</f>
        <v>0</v>
      </c>
      <c r="AL12" s="26">
        <f>SUMIF($E$15:$E$1048576,$E12,AL$15:AL$1048576)</f>
        <v>0</v>
      </c>
      <c r="AM12" s="26">
        <f>AL12*Ajustes!$H$25</f>
        <v>0</v>
      </c>
      <c r="AN12" s="30"/>
    </row>
    <row r="13" spans="2:40">
      <c r="AJ13" s="68">
        <f>SUM(AJ9:AJ12)</f>
        <v>0</v>
      </c>
      <c r="AK13" s="22">
        <f t="shared" ref="AK13:AM13" si="4">SUM(AK9:AK12)</f>
        <v>0</v>
      </c>
      <c r="AL13" s="22">
        <f t="shared" si="4"/>
        <v>0</v>
      </c>
      <c r="AM13" s="69">
        <f t="shared" si="4"/>
        <v>0</v>
      </c>
      <c r="AN13" s="28"/>
    </row>
    <row r="14" spans="2:40">
      <c r="B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2:40" s="18" customFormat="1">
      <c r="D15" s="19"/>
      <c r="E15" s="2"/>
      <c r="F15" s="168" t="s">
        <v>43</v>
      </c>
      <c r="G15" s="168"/>
      <c r="H15" s="168"/>
      <c r="I15" s="168"/>
      <c r="J15" s="168"/>
      <c r="K15" s="168"/>
      <c r="L15" s="168" t="s">
        <v>44</v>
      </c>
      <c r="M15" s="168"/>
      <c r="N15" s="168"/>
      <c r="O15" s="168"/>
      <c r="P15" s="168"/>
      <c r="Q15" s="168"/>
      <c r="R15" s="168" t="s">
        <v>45</v>
      </c>
      <c r="S15" s="168"/>
      <c r="T15" s="168"/>
      <c r="U15" s="168"/>
      <c r="V15" s="168"/>
      <c r="W15" s="168"/>
      <c r="X15" s="168" t="s">
        <v>46</v>
      </c>
      <c r="Y15" s="168"/>
      <c r="Z15" s="168"/>
      <c r="AA15" s="168"/>
      <c r="AB15" s="168"/>
      <c r="AC15" s="168"/>
      <c r="AD15" s="168" t="s">
        <v>47</v>
      </c>
      <c r="AE15" s="168"/>
      <c r="AF15" s="168"/>
      <c r="AG15" s="168"/>
      <c r="AH15" s="168"/>
      <c r="AI15" s="168"/>
      <c r="AJ15" s="90" t="s">
        <v>48</v>
      </c>
      <c r="AK15" s="91" t="s">
        <v>49</v>
      </c>
      <c r="AL15" s="91" t="s">
        <v>50</v>
      </c>
      <c r="AM15" s="90" t="s">
        <v>51</v>
      </c>
      <c r="AN15" s="92" t="s">
        <v>52</v>
      </c>
    </row>
    <row r="16" spans="2:40" s="18" customFormat="1">
      <c r="E16" s="2"/>
      <c r="F16" s="169" t="s">
        <v>19</v>
      </c>
      <c r="G16" s="169"/>
      <c r="H16" s="169"/>
      <c r="I16" s="169"/>
      <c r="J16" s="169"/>
      <c r="K16" s="169"/>
      <c r="L16" s="169" t="s">
        <v>20</v>
      </c>
      <c r="M16" s="169"/>
      <c r="N16" s="169"/>
      <c r="O16" s="169"/>
      <c r="P16" s="169"/>
      <c r="Q16" s="169"/>
      <c r="R16" s="169" t="s">
        <v>21</v>
      </c>
      <c r="S16" s="169"/>
      <c r="T16" s="169"/>
      <c r="U16" s="169"/>
      <c r="V16" s="169"/>
      <c r="W16" s="169"/>
      <c r="X16" s="169" t="s">
        <v>22</v>
      </c>
      <c r="Y16" s="169"/>
      <c r="Z16" s="169"/>
      <c r="AA16" s="169"/>
      <c r="AB16" s="169"/>
      <c r="AC16" s="169"/>
      <c r="AD16" s="169" t="s">
        <v>23</v>
      </c>
      <c r="AE16" s="169"/>
      <c r="AF16" s="169"/>
      <c r="AG16" s="169"/>
      <c r="AH16" s="169"/>
      <c r="AI16" s="169"/>
      <c r="AJ16" s="93"/>
      <c r="AK16" s="20"/>
      <c r="AL16" s="20"/>
      <c r="AM16" s="93"/>
      <c r="AN16" s="94"/>
    </row>
    <row r="17" spans="2:40" s="18" customFormat="1">
      <c r="B17" s="60" t="s">
        <v>58</v>
      </c>
      <c r="C17" s="60" t="s">
        <v>59</v>
      </c>
      <c r="D17" s="60" t="s">
        <v>60</v>
      </c>
      <c r="E17" s="144" t="s">
        <v>53</v>
      </c>
      <c r="F17" s="57" t="s">
        <v>30</v>
      </c>
      <c r="G17" s="57" t="s">
        <v>31</v>
      </c>
      <c r="H17" s="57" t="s">
        <v>32</v>
      </c>
      <c r="I17" s="57" t="s">
        <v>33</v>
      </c>
      <c r="J17" s="57" t="s">
        <v>34</v>
      </c>
      <c r="K17" s="57" t="s">
        <v>35</v>
      </c>
      <c r="L17" s="57" t="s">
        <v>30</v>
      </c>
      <c r="M17" s="57" t="s">
        <v>31</v>
      </c>
      <c r="N17" s="57" t="s">
        <v>32</v>
      </c>
      <c r="O17" s="57" t="s">
        <v>33</v>
      </c>
      <c r="P17" s="57" t="s">
        <v>34</v>
      </c>
      <c r="Q17" s="57" t="s">
        <v>35</v>
      </c>
      <c r="R17" s="57" t="s">
        <v>30</v>
      </c>
      <c r="S17" s="57" t="s">
        <v>31</v>
      </c>
      <c r="T17" s="57" t="s">
        <v>32</v>
      </c>
      <c r="U17" s="57" t="s">
        <v>33</v>
      </c>
      <c r="V17" s="57" t="s">
        <v>34</v>
      </c>
      <c r="W17" s="57" t="s">
        <v>35</v>
      </c>
      <c r="X17" s="57" t="s">
        <v>30</v>
      </c>
      <c r="Y17" s="57" t="s">
        <v>31</v>
      </c>
      <c r="Z17" s="57" t="s">
        <v>32</v>
      </c>
      <c r="AA17" s="57" t="s">
        <v>33</v>
      </c>
      <c r="AB17" s="57" t="s">
        <v>34</v>
      </c>
      <c r="AC17" s="57" t="s">
        <v>35</v>
      </c>
      <c r="AD17" s="57" t="s">
        <v>30</v>
      </c>
      <c r="AE17" s="57" t="s">
        <v>31</v>
      </c>
      <c r="AF17" s="57" t="s">
        <v>32</v>
      </c>
      <c r="AG17" s="57" t="s">
        <v>33</v>
      </c>
      <c r="AH17" s="57" t="s">
        <v>34</v>
      </c>
      <c r="AI17" s="57" t="s">
        <v>35</v>
      </c>
      <c r="AJ17" s="68"/>
      <c r="AK17" s="22"/>
      <c r="AL17" s="22"/>
      <c r="AM17" s="68"/>
      <c r="AN17" s="60"/>
    </row>
    <row r="18" spans="2:40">
      <c r="B18" s="28"/>
      <c r="C18" s="28"/>
      <c r="D18" s="29"/>
      <c r="E18" s="145" t="s">
        <v>54</v>
      </c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32">
        <f>SUM(F18:AI18)</f>
        <v>0</v>
      </c>
      <c r="AK18" s="23"/>
      <c r="AL18" s="24"/>
      <c r="AM18" s="23"/>
      <c r="AN18" s="95"/>
    </row>
    <row r="19" spans="2:40">
      <c r="B19" s="28"/>
      <c r="C19" s="28"/>
      <c r="D19" s="29"/>
      <c r="E19" s="145" t="s">
        <v>55</v>
      </c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32">
        <f t="shared" ref="AJ19" si="5">SUM(F19:AI19)</f>
        <v>0</v>
      </c>
      <c r="AK19" s="23"/>
      <c r="AL19" s="24"/>
      <c r="AM19" s="23"/>
      <c r="AN19" s="95"/>
    </row>
    <row r="20" spans="2:40">
      <c r="B20" s="28"/>
      <c r="C20" s="28"/>
      <c r="D20" s="30"/>
      <c r="E20" s="146" t="s">
        <v>56</v>
      </c>
      <c r="F20" s="25" t="str">
        <f>IF(F18="","",F18*'Elementos Base'!C$12)</f>
        <v/>
      </c>
      <c r="G20" s="25" t="str">
        <f>IF(G18="","",G18*'Elementos Base'!D$12)</f>
        <v/>
      </c>
      <c r="H20" s="25" t="str">
        <f>IF(H18="","",H18*'Elementos Base'!E$12)</f>
        <v/>
      </c>
      <c r="I20" s="25" t="str">
        <f>IF(I18="","",I18*'Elementos Base'!F$12)</f>
        <v/>
      </c>
      <c r="J20" s="25" t="str">
        <f>IF(J18="","",J18*'Elementos Base'!G$12)</f>
        <v/>
      </c>
      <c r="K20" s="25" t="str">
        <f>IF(K18="","",K18*'Elementos Base'!H$12)</f>
        <v/>
      </c>
      <c r="L20" s="25" t="str">
        <f>IF(L18="","",L18*'Elementos Base'!I$12)</f>
        <v/>
      </c>
      <c r="M20" s="25" t="str">
        <f>IF(M18="","",M18*'Elementos Base'!J$12)</f>
        <v/>
      </c>
      <c r="N20" s="25" t="str">
        <f>IF(N18="","",N18*'Elementos Base'!K$12)</f>
        <v/>
      </c>
      <c r="O20" s="25" t="str">
        <f>IF(O18="","",O18*'Elementos Base'!L$12)</f>
        <v/>
      </c>
      <c r="P20" s="25" t="str">
        <f>IF(P18="","",P18*'Elementos Base'!M$12)</f>
        <v/>
      </c>
      <c r="Q20" s="25" t="str">
        <f>IF(Q18="","",Q18*'Elementos Base'!N$12)</f>
        <v/>
      </c>
      <c r="R20" s="25" t="str">
        <f>IF(R18="","",R18*'Elementos Base'!O$12)</f>
        <v/>
      </c>
      <c r="S20" s="25" t="str">
        <f>IF(S18="","",S18*'Elementos Base'!P$12)</f>
        <v/>
      </c>
      <c r="T20" s="25" t="str">
        <f>IF(T18="","",T18*'Elementos Base'!Q$12)</f>
        <v/>
      </c>
      <c r="U20" s="25" t="str">
        <f>IF(U18="","",U18*'Elementos Base'!R$12)</f>
        <v/>
      </c>
      <c r="V20" s="25" t="str">
        <f>IF(V18="","",V18*'Elementos Base'!S$12)</f>
        <v/>
      </c>
      <c r="W20" s="25" t="str">
        <f>IF(W18="","",W18*'Elementos Base'!T$12)</f>
        <v/>
      </c>
      <c r="X20" s="25" t="str">
        <f>IF(X18="","",X18*'Elementos Base'!U$12)</f>
        <v/>
      </c>
      <c r="Y20" s="25" t="str">
        <f>IF(Y18="","",Y18*'Elementos Base'!V$12)</f>
        <v/>
      </c>
      <c r="Z20" s="25" t="str">
        <f>IF(Z18="","",Z18*'Elementos Base'!W$12)</f>
        <v/>
      </c>
      <c r="AA20" s="25" t="str">
        <f>IF(AA18="","",AA18*'Elementos Base'!X$12)</f>
        <v/>
      </c>
      <c r="AB20" s="25" t="str">
        <f>IF(AB18="","",AB18*'Elementos Base'!Y$12)</f>
        <v/>
      </c>
      <c r="AC20" s="25" t="str">
        <f>IF(AC18="","",AC18*'Elementos Base'!Z$12)</f>
        <v/>
      </c>
      <c r="AD20" s="25" t="str">
        <f>IF(AD18="","",AD18*'Elementos Base'!AA$12)</f>
        <v/>
      </c>
      <c r="AE20" s="25" t="str">
        <f>IF(AE18="","",AE18*'Elementos Base'!AB$12)</f>
        <v/>
      </c>
      <c r="AF20" s="25" t="str">
        <f>IF(AF18="","",AF18*'Elementos Base'!AC$12)</f>
        <v/>
      </c>
      <c r="AG20" s="25" t="str">
        <f>IF(AG18="","",AG18*'Elementos Base'!AD$12)</f>
        <v/>
      </c>
      <c r="AH20" s="25" t="str">
        <f>IF(AH18="","",AH18*'Elementos Base'!AE$12)</f>
        <v/>
      </c>
      <c r="AI20" s="25" t="str">
        <f>IF(AI18="","",AI18*'Elementos Base'!AF$12)</f>
        <v/>
      </c>
      <c r="AJ20" s="96"/>
      <c r="AK20" s="26">
        <f>SUM(F20:AI20)</f>
        <v>0</v>
      </c>
      <c r="AL20" s="26">
        <f>AK20</f>
        <v>0</v>
      </c>
      <c r="AM20" s="26">
        <f>AL20*Ajustes!$H$25</f>
        <v>0</v>
      </c>
      <c r="AN20" s="30"/>
    </row>
    <row r="21" spans="2:40">
      <c r="B21" s="28"/>
      <c r="C21" s="28"/>
      <c r="D21" s="30"/>
      <c r="E21" s="146" t="s">
        <v>57</v>
      </c>
      <c r="F21" s="25" t="str">
        <f>IF(F19="","",F19*'Elementos Base'!C$13)</f>
        <v/>
      </c>
      <c r="G21" s="25" t="str">
        <f>IF(G19="","",G19*'Elementos Base'!D$13)</f>
        <v/>
      </c>
      <c r="H21" s="25" t="str">
        <f>IF(H19="","",H19*'Elementos Base'!E$13)</f>
        <v/>
      </c>
      <c r="I21" s="25" t="str">
        <f>IF(I19="","",I19*'Elementos Base'!F$13)</f>
        <v/>
      </c>
      <c r="J21" s="25" t="str">
        <f>IF(J19="","",J19*'Elementos Base'!G$13)</f>
        <v/>
      </c>
      <c r="K21" s="25" t="str">
        <f>IF(K19="","",K19*'Elementos Base'!H$13)</f>
        <v/>
      </c>
      <c r="L21" s="25" t="str">
        <f>IF(L19="","",L19*'Elementos Base'!I$13)</f>
        <v/>
      </c>
      <c r="M21" s="25" t="str">
        <f>IF(M19="","",M19*'Elementos Base'!J$13)</f>
        <v/>
      </c>
      <c r="N21" s="25" t="str">
        <f>IF(N19="","",N19*'Elementos Base'!K$13)</f>
        <v/>
      </c>
      <c r="O21" s="25" t="str">
        <f>IF(O19="","",O19*'Elementos Base'!L$13)</f>
        <v/>
      </c>
      <c r="P21" s="25" t="str">
        <f>IF(P19="","",P19*'Elementos Base'!M$13)</f>
        <v/>
      </c>
      <c r="Q21" s="25" t="str">
        <f>IF(Q19="","",Q19*'Elementos Base'!N$13)</f>
        <v/>
      </c>
      <c r="R21" s="25" t="str">
        <f>IF(R19="","",R19*'Elementos Base'!O$13)</f>
        <v/>
      </c>
      <c r="S21" s="25" t="str">
        <f>IF(S19="","",S19*'Elementos Base'!P$13)</f>
        <v/>
      </c>
      <c r="T21" s="25" t="str">
        <f>IF(T19="","",T19*'Elementos Base'!Q$13)</f>
        <v/>
      </c>
      <c r="U21" s="25" t="str">
        <f>IF(U19="","",U19*'Elementos Base'!R$13)</f>
        <v/>
      </c>
      <c r="V21" s="25" t="str">
        <f>IF(V19="","",V19*'Elementos Base'!S$13)</f>
        <v/>
      </c>
      <c r="W21" s="25" t="str">
        <f>IF(W19="","",W19*'Elementos Base'!T$13)</f>
        <v/>
      </c>
      <c r="X21" s="25" t="str">
        <f>IF(X19="","",X19*'Elementos Base'!U$13)</f>
        <v/>
      </c>
      <c r="Y21" s="25" t="str">
        <f>IF(Y19="","",Y19*'Elementos Base'!V$13)</f>
        <v/>
      </c>
      <c r="Z21" s="25" t="str">
        <f>IF(Z19="","",Z19*'Elementos Base'!W$13)</f>
        <v/>
      </c>
      <c r="AA21" s="25" t="str">
        <f>IF(AA19="","",AA19*'Elementos Base'!X$13)</f>
        <v/>
      </c>
      <c r="AB21" s="25" t="str">
        <f>IF(AB19="","",AB19*'Elementos Base'!Y$13)</f>
        <v/>
      </c>
      <c r="AC21" s="25" t="str">
        <f>IF(AC19="","",AC19*'Elementos Base'!Z$13)</f>
        <v/>
      </c>
      <c r="AD21" s="25" t="str">
        <f>IF(AD19="","",AD19*'Elementos Base'!AA$13)</f>
        <v/>
      </c>
      <c r="AE21" s="25" t="str">
        <f>IF(AE19="","",AE19*'Elementos Base'!AB$13)</f>
        <v/>
      </c>
      <c r="AF21" s="25" t="str">
        <f>IF(AF19="","",AF19*'Elementos Base'!AC$13)</f>
        <v/>
      </c>
      <c r="AG21" s="25" t="str">
        <f>IF(AG19="","",AG19*'Elementos Base'!AD$13)</f>
        <v/>
      </c>
      <c r="AH21" s="25" t="str">
        <f>IF(AH19="","",AH19*'Elementos Base'!AE$13)</f>
        <v/>
      </c>
      <c r="AI21" s="25" t="str">
        <f>IF(AI19="","",AI19*'Elementos Base'!AF$13)</f>
        <v/>
      </c>
      <c r="AJ21" s="96"/>
      <c r="AK21" s="26">
        <f>SUM(F21:AI21)</f>
        <v>0</v>
      </c>
      <c r="AL21" s="58">
        <f>AK21</f>
        <v>0</v>
      </c>
      <c r="AM21" s="26">
        <f>AL21*Ajustes!$H$25</f>
        <v>0</v>
      </c>
      <c r="AN21" s="30"/>
    </row>
    <row r="22" spans="2:40">
      <c r="B22" s="28"/>
      <c r="C22" s="28"/>
      <c r="D22" s="29"/>
      <c r="E22" s="145" t="s">
        <v>54</v>
      </c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32">
        <f t="shared" ref="AJ22:AJ23" si="6">SUM(F22:AI22)</f>
        <v>0</v>
      </c>
      <c r="AK22" s="23"/>
      <c r="AL22" s="24"/>
      <c r="AM22" s="23"/>
      <c r="AN22" s="95"/>
    </row>
    <row r="23" spans="2:40">
      <c r="B23" s="28"/>
      <c r="C23" s="28"/>
      <c r="D23" s="29"/>
      <c r="E23" s="145" t="s">
        <v>55</v>
      </c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32">
        <f t="shared" si="6"/>
        <v>0</v>
      </c>
      <c r="AK23" s="23"/>
      <c r="AL23" s="24"/>
      <c r="AM23" s="23"/>
      <c r="AN23" s="95"/>
    </row>
    <row r="24" spans="2:40">
      <c r="B24" s="28"/>
      <c r="C24" s="28"/>
      <c r="D24" s="30"/>
      <c r="E24" s="146" t="s">
        <v>56</v>
      </c>
      <c r="F24" s="25" t="str">
        <f>IF(F22="","",F22*'Elementos Base'!C$12)</f>
        <v/>
      </c>
      <c r="G24" s="25" t="str">
        <f>IF(G22="","",G22*'Elementos Base'!D$12)</f>
        <v/>
      </c>
      <c r="H24" s="25" t="str">
        <f>IF(H22="","",H22*'Elementos Base'!E$12)</f>
        <v/>
      </c>
      <c r="I24" s="25" t="str">
        <f>IF(I22="","",I22*'Elementos Base'!F$12)</f>
        <v/>
      </c>
      <c r="J24" s="25" t="str">
        <f>IF(J22="","",J22*'Elementos Base'!G$12)</f>
        <v/>
      </c>
      <c r="K24" s="25" t="str">
        <f>IF(K22="","",K22*'Elementos Base'!H$12)</f>
        <v/>
      </c>
      <c r="L24" s="25" t="str">
        <f>IF(L22="","",L22*'Elementos Base'!I$12)</f>
        <v/>
      </c>
      <c r="M24" s="25" t="str">
        <f>IF(M22="","",M22*'Elementos Base'!J$12)</f>
        <v/>
      </c>
      <c r="N24" s="25" t="str">
        <f>IF(N22="","",N22*'Elementos Base'!K$12)</f>
        <v/>
      </c>
      <c r="O24" s="25" t="str">
        <f>IF(O22="","",O22*'Elementos Base'!L$12)</f>
        <v/>
      </c>
      <c r="P24" s="25" t="str">
        <f>IF(P22="","",P22*'Elementos Base'!M$12)</f>
        <v/>
      </c>
      <c r="Q24" s="25" t="str">
        <f>IF(Q22="","",Q22*'Elementos Base'!N$12)</f>
        <v/>
      </c>
      <c r="R24" s="25" t="str">
        <f>IF(R22="","",R22*'Elementos Base'!O$12)</f>
        <v/>
      </c>
      <c r="S24" s="25" t="str">
        <f>IF(S22="","",S22*'Elementos Base'!P$12)</f>
        <v/>
      </c>
      <c r="T24" s="25" t="str">
        <f>IF(T22="","",T22*'Elementos Base'!Q$12)</f>
        <v/>
      </c>
      <c r="U24" s="25" t="str">
        <f>IF(U22="","",U22*'Elementos Base'!R$12)</f>
        <v/>
      </c>
      <c r="V24" s="25" t="str">
        <f>IF(V22="","",V22*'Elementos Base'!S$12)</f>
        <v/>
      </c>
      <c r="W24" s="25" t="str">
        <f>IF(W22="","",W22*'Elementos Base'!T$12)</f>
        <v/>
      </c>
      <c r="X24" s="25" t="str">
        <f>IF(X22="","",X22*'Elementos Base'!U$12)</f>
        <v/>
      </c>
      <c r="Y24" s="25" t="str">
        <f>IF(Y22="","",Y22*'Elementos Base'!V$12)</f>
        <v/>
      </c>
      <c r="Z24" s="25" t="str">
        <f>IF(Z22="","",Z22*'Elementos Base'!W$12)</f>
        <v/>
      </c>
      <c r="AA24" s="25" t="str">
        <f>IF(AA22="","",AA22*'Elementos Base'!X$12)</f>
        <v/>
      </c>
      <c r="AB24" s="25" t="str">
        <f>IF(AB22="","",AB22*'Elementos Base'!Y$12)</f>
        <v/>
      </c>
      <c r="AC24" s="25" t="str">
        <f>IF(AC22="","",AC22*'Elementos Base'!Z$12)</f>
        <v/>
      </c>
      <c r="AD24" s="25" t="str">
        <f>IF(AD22="","",AD22*'Elementos Base'!AA$12)</f>
        <v/>
      </c>
      <c r="AE24" s="25" t="str">
        <f>IF(AE22="","",AE22*'Elementos Base'!AB$12)</f>
        <v/>
      </c>
      <c r="AF24" s="25" t="str">
        <f>IF(AF22="","",AF22*'Elementos Base'!AC$12)</f>
        <v/>
      </c>
      <c r="AG24" s="25" t="str">
        <f>IF(AG22="","",AG22*'Elementos Base'!AD$12)</f>
        <v/>
      </c>
      <c r="AH24" s="25" t="str">
        <f>IF(AH22="","",AH22*'Elementos Base'!AE$12)</f>
        <v/>
      </c>
      <c r="AI24" s="25" t="str">
        <f>IF(AI22="","",AI22*'Elementos Base'!AF$12)</f>
        <v/>
      </c>
      <c r="AJ24" s="96"/>
      <c r="AK24" s="26">
        <f t="shared" ref="AK24:AK25" si="7">SUM(F24:AI24)</f>
        <v>0</v>
      </c>
      <c r="AL24" s="26">
        <f>AK24</f>
        <v>0</v>
      </c>
      <c r="AM24" s="26">
        <f>AL24*Ajustes!$H$25</f>
        <v>0</v>
      </c>
      <c r="AN24" s="30"/>
    </row>
    <row r="25" spans="2:40">
      <c r="B25" s="28"/>
      <c r="C25" s="28"/>
      <c r="D25" s="30"/>
      <c r="E25" s="146" t="s">
        <v>57</v>
      </c>
      <c r="F25" s="25" t="str">
        <f>IF(F23="","",F23*'Elementos Base'!C$13)</f>
        <v/>
      </c>
      <c r="G25" s="25" t="str">
        <f>IF(G23="","",G23*'Elementos Base'!D$13)</f>
        <v/>
      </c>
      <c r="H25" s="25" t="str">
        <f>IF(H23="","",H23*'Elementos Base'!E$13)</f>
        <v/>
      </c>
      <c r="I25" s="25" t="str">
        <f>IF(I23="","",I23*'Elementos Base'!F$13)</f>
        <v/>
      </c>
      <c r="J25" s="25" t="str">
        <f>IF(J23="","",J23*'Elementos Base'!G$13)</f>
        <v/>
      </c>
      <c r="K25" s="25" t="str">
        <f>IF(K23="","",K23*'Elementos Base'!H$13)</f>
        <v/>
      </c>
      <c r="L25" s="25" t="str">
        <f>IF(L23="","",L23*'Elementos Base'!I$13)</f>
        <v/>
      </c>
      <c r="M25" s="25" t="str">
        <f>IF(M23="","",M23*'Elementos Base'!J$13)</f>
        <v/>
      </c>
      <c r="N25" s="25" t="str">
        <f>IF(N23="","",N23*'Elementos Base'!K$13)</f>
        <v/>
      </c>
      <c r="O25" s="25" t="str">
        <f>IF(O23="","",O23*'Elementos Base'!L$13)</f>
        <v/>
      </c>
      <c r="P25" s="25" t="str">
        <f>IF(P23="","",P23*'Elementos Base'!M$13)</f>
        <v/>
      </c>
      <c r="Q25" s="25" t="str">
        <f>IF(Q23="","",Q23*'Elementos Base'!N$13)</f>
        <v/>
      </c>
      <c r="R25" s="25" t="str">
        <f>IF(R23="","",R23*'Elementos Base'!O$13)</f>
        <v/>
      </c>
      <c r="S25" s="25" t="str">
        <f>IF(S23="","",S23*'Elementos Base'!P$13)</f>
        <v/>
      </c>
      <c r="T25" s="25" t="str">
        <f>IF(T23="","",T23*'Elementos Base'!Q$13)</f>
        <v/>
      </c>
      <c r="U25" s="25" t="str">
        <f>IF(U23="","",U23*'Elementos Base'!R$13)</f>
        <v/>
      </c>
      <c r="V25" s="25" t="str">
        <f>IF(V23="","",V23*'Elementos Base'!S$13)</f>
        <v/>
      </c>
      <c r="W25" s="25" t="str">
        <f>IF(W23="","",W23*'Elementos Base'!T$13)</f>
        <v/>
      </c>
      <c r="X25" s="25" t="str">
        <f>IF(X23="","",X23*'Elementos Base'!U$13)</f>
        <v/>
      </c>
      <c r="Y25" s="25" t="str">
        <f>IF(Y23="","",Y23*'Elementos Base'!V$13)</f>
        <v/>
      </c>
      <c r="Z25" s="25" t="str">
        <f>IF(Z23="","",Z23*'Elementos Base'!W$13)</f>
        <v/>
      </c>
      <c r="AA25" s="25" t="str">
        <f>IF(AA23="","",AA23*'Elementos Base'!X$13)</f>
        <v/>
      </c>
      <c r="AB25" s="25" t="str">
        <f>IF(AB23="","",AB23*'Elementos Base'!Y$13)</f>
        <v/>
      </c>
      <c r="AC25" s="25" t="str">
        <f>IF(AC23="","",AC23*'Elementos Base'!Z$13)</f>
        <v/>
      </c>
      <c r="AD25" s="25" t="str">
        <f>IF(AD23="","",AD23*'Elementos Base'!AA$13)</f>
        <v/>
      </c>
      <c r="AE25" s="25" t="str">
        <f>IF(AE23="","",AE23*'Elementos Base'!AB$13)</f>
        <v/>
      </c>
      <c r="AF25" s="25" t="str">
        <f>IF(AF23="","",AF23*'Elementos Base'!AC$13)</f>
        <v/>
      </c>
      <c r="AG25" s="25" t="str">
        <f>IF(AG23="","",AG23*'Elementos Base'!AD$13)</f>
        <v/>
      </c>
      <c r="AH25" s="25" t="str">
        <f>IF(AH23="","",AH23*'Elementos Base'!AE$13)</f>
        <v/>
      </c>
      <c r="AI25" s="25" t="str">
        <f>IF(AI23="","",AI23*'Elementos Base'!AF$13)</f>
        <v/>
      </c>
      <c r="AJ25" s="96"/>
      <c r="AK25" s="26">
        <f t="shared" si="7"/>
        <v>0</v>
      </c>
      <c r="AL25" s="58">
        <f>AK25</f>
        <v>0</v>
      </c>
      <c r="AM25" s="26">
        <f>AL25*Ajustes!$H$25</f>
        <v>0</v>
      </c>
      <c r="AN25" s="30"/>
    </row>
    <row r="26" spans="2:40">
      <c r="B26" s="28"/>
      <c r="C26" s="28"/>
      <c r="D26" s="29"/>
      <c r="E26" s="145" t="s">
        <v>54</v>
      </c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32">
        <f t="shared" ref="AJ26:AJ27" si="8">SUM(F26:AI26)</f>
        <v>0</v>
      </c>
      <c r="AK26" s="23"/>
      <c r="AL26" s="24"/>
      <c r="AM26" s="23"/>
      <c r="AN26" s="95"/>
    </row>
    <row r="27" spans="2:40">
      <c r="B27" s="28"/>
      <c r="C27" s="28"/>
      <c r="D27" s="29"/>
      <c r="E27" s="145" t="s">
        <v>55</v>
      </c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32">
        <f t="shared" si="8"/>
        <v>0</v>
      </c>
      <c r="AK27" s="23"/>
      <c r="AL27" s="24"/>
      <c r="AM27" s="23"/>
      <c r="AN27" s="95"/>
    </row>
    <row r="28" spans="2:40">
      <c r="B28" s="28"/>
      <c r="C28" s="28"/>
      <c r="D28" s="30"/>
      <c r="E28" s="146" t="s">
        <v>56</v>
      </c>
      <c r="F28" s="25" t="str">
        <f>IF(F26="","",F26*'Elementos Base'!C$12)</f>
        <v/>
      </c>
      <c r="G28" s="25" t="str">
        <f>IF(G26="","",G26*'Elementos Base'!D$12)</f>
        <v/>
      </c>
      <c r="H28" s="25" t="str">
        <f>IF(H26="","",H26*'Elementos Base'!E$12)</f>
        <v/>
      </c>
      <c r="I28" s="25" t="str">
        <f>IF(I26="","",I26*'Elementos Base'!F$12)</f>
        <v/>
      </c>
      <c r="J28" s="25" t="str">
        <f>IF(J26="","",J26*'Elementos Base'!G$12)</f>
        <v/>
      </c>
      <c r="K28" s="25" t="str">
        <f>IF(K26="","",K26*'Elementos Base'!H$12)</f>
        <v/>
      </c>
      <c r="L28" s="25" t="str">
        <f>IF(L26="","",L26*'Elementos Base'!I$12)</f>
        <v/>
      </c>
      <c r="M28" s="25" t="str">
        <f>IF(M26="","",M26*'Elementos Base'!J$12)</f>
        <v/>
      </c>
      <c r="N28" s="25" t="str">
        <f>IF(N26="","",N26*'Elementos Base'!K$12)</f>
        <v/>
      </c>
      <c r="O28" s="25" t="str">
        <f>IF(O26="","",O26*'Elementos Base'!L$12)</f>
        <v/>
      </c>
      <c r="P28" s="25" t="str">
        <f>IF(P26="","",P26*'Elementos Base'!M$12)</f>
        <v/>
      </c>
      <c r="Q28" s="25" t="str">
        <f>IF(Q26="","",Q26*'Elementos Base'!N$12)</f>
        <v/>
      </c>
      <c r="R28" s="25" t="str">
        <f>IF(R26="","",R26*'Elementos Base'!O$12)</f>
        <v/>
      </c>
      <c r="S28" s="25" t="str">
        <f>IF(S26="","",S26*'Elementos Base'!P$12)</f>
        <v/>
      </c>
      <c r="T28" s="25" t="str">
        <f>IF(T26="","",T26*'Elementos Base'!Q$12)</f>
        <v/>
      </c>
      <c r="U28" s="25" t="str">
        <f>IF(U26="","",U26*'Elementos Base'!R$12)</f>
        <v/>
      </c>
      <c r="V28" s="25" t="str">
        <f>IF(V26="","",V26*'Elementos Base'!S$12)</f>
        <v/>
      </c>
      <c r="W28" s="25" t="str">
        <f>IF(W26="","",W26*'Elementos Base'!T$12)</f>
        <v/>
      </c>
      <c r="X28" s="25" t="str">
        <f>IF(X26="","",X26*'Elementos Base'!U$12)</f>
        <v/>
      </c>
      <c r="Y28" s="25" t="str">
        <f>IF(Y26="","",Y26*'Elementos Base'!V$12)</f>
        <v/>
      </c>
      <c r="Z28" s="25" t="str">
        <f>IF(Z26="","",Z26*'Elementos Base'!W$12)</f>
        <v/>
      </c>
      <c r="AA28" s="25" t="str">
        <f>IF(AA26="","",AA26*'Elementos Base'!X$12)</f>
        <v/>
      </c>
      <c r="AB28" s="25" t="str">
        <f>IF(AB26="","",AB26*'Elementos Base'!Y$12)</f>
        <v/>
      </c>
      <c r="AC28" s="25" t="str">
        <f>IF(AC26="","",AC26*'Elementos Base'!Z$12)</f>
        <v/>
      </c>
      <c r="AD28" s="25" t="str">
        <f>IF(AD26="","",AD26*'Elementos Base'!AA$12)</f>
        <v/>
      </c>
      <c r="AE28" s="25" t="str">
        <f>IF(AE26="","",AE26*'Elementos Base'!AB$12)</f>
        <v/>
      </c>
      <c r="AF28" s="25" t="str">
        <f>IF(AF26="","",AF26*'Elementos Base'!AC$12)</f>
        <v/>
      </c>
      <c r="AG28" s="25" t="str">
        <f>IF(AG26="","",AG26*'Elementos Base'!AD$12)</f>
        <v/>
      </c>
      <c r="AH28" s="25" t="str">
        <f>IF(AH26="","",AH26*'Elementos Base'!AE$12)</f>
        <v/>
      </c>
      <c r="AI28" s="25" t="str">
        <f>IF(AI26="","",AI26*'Elementos Base'!AF$12)</f>
        <v/>
      </c>
      <c r="AJ28" s="96"/>
      <c r="AK28" s="26">
        <f t="shared" ref="AK28:AK29" si="9">SUM(F28:AI28)</f>
        <v>0</v>
      </c>
      <c r="AL28" s="26">
        <f>AK28</f>
        <v>0</v>
      </c>
      <c r="AM28" s="26">
        <f>AL28*Ajustes!$H$25</f>
        <v>0</v>
      </c>
      <c r="AN28" s="30"/>
    </row>
    <row r="29" spans="2:40">
      <c r="B29" s="28"/>
      <c r="C29" s="28"/>
      <c r="D29" s="30"/>
      <c r="E29" s="146" t="s">
        <v>57</v>
      </c>
      <c r="F29" s="25" t="str">
        <f>IF(F27="","",F27*'Elementos Base'!C$13)</f>
        <v/>
      </c>
      <c r="G29" s="25" t="str">
        <f>IF(G27="","",G27*'Elementos Base'!D$13)</f>
        <v/>
      </c>
      <c r="H29" s="25" t="str">
        <f>IF(H27="","",H27*'Elementos Base'!E$13)</f>
        <v/>
      </c>
      <c r="I29" s="25" t="str">
        <f>IF(I27="","",I27*'Elementos Base'!F$13)</f>
        <v/>
      </c>
      <c r="J29" s="25" t="str">
        <f>IF(J27="","",J27*'Elementos Base'!G$13)</f>
        <v/>
      </c>
      <c r="K29" s="25" t="str">
        <f>IF(K27="","",K27*'Elementos Base'!H$13)</f>
        <v/>
      </c>
      <c r="L29" s="25" t="str">
        <f>IF(L27="","",L27*'Elementos Base'!I$13)</f>
        <v/>
      </c>
      <c r="M29" s="25" t="str">
        <f>IF(M27="","",M27*'Elementos Base'!J$13)</f>
        <v/>
      </c>
      <c r="N29" s="25" t="str">
        <f>IF(N27="","",N27*'Elementos Base'!K$13)</f>
        <v/>
      </c>
      <c r="O29" s="25" t="str">
        <f>IF(O27="","",O27*'Elementos Base'!L$13)</f>
        <v/>
      </c>
      <c r="P29" s="25" t="str">
        <f>IF(P27="","",P27*'Elementos Base'!M$13)</f>
        <v/>
      </c>
      <c r="Q29" s="25" t="str">
        <f>IF(Q27="","",Q27*'Elementos Base'!N$13)</f>
        <v/>
      </c>
      <c r="R29" s="25" t="str">
        <f>IF(R27="","",R27*'Elementos Base'!O$13)</f>
        <v/>
      </c>
      <c r="S29" s="25" t="str">
        <f>IF(S27="","",S27*'Elementos Base'!P$13)</f>
        <v/>
      </c>
      <c r="T29" s="25" t="str">
        <f>IF(T27="","",T27*'Elementos Base'!Q$13)</f>
        <v/>
      </c>
      <c r="U29" s="25" t="str">
        <f>IF(U27="","",U27*'Elementos Base'!R$13)</f>
        <v/>
      </c>
      <c r="V29" s="25" t="str">
        <f>IF(V27="","",V27*'Elementos Base'!S$13)</f>
        <v/>
      </c>
      <c r="W29" s="25" t="str">
        <f>IF(W27="","",W27*'Elementos Base'!T$13)</f>
        <v/>
      </c>
      <c r="X29" s="25" t="str">
        <f>IF(X27="","",X27*'Elementos Base'!U$13)</f>
        <v/>
      </c>
      <c r="Y29" s="25" t="str">
        <f>IF(Y27="","",Y27*'Elementos Base'!V$13)</f>
        <v/>
      </c>
      <c r="Z29" s="25" t="str">
        <f>IF(Z27="","",Z27*'Elementos Base'!W$13)</f>
        <v/>
      </c>
      <c r="AA29" s="25" t="str">
        <f>IF(AA27="","",AA27*'Elementos Base'!X$13)</f>
        <v/>
      </c>
      <c r="AB29" s="25" t="str">
        <f>IF(AB27="","",AB27*'Elementos Base'!Y$13)</f>
        <v/>
      </c>
      <c r="AC29" s="25" t="str">
        <f>IF(AC27="","",AC27*'Elementos Base'!Z$13)</f>
        <v/>
      </c>
      <c r="AD29" s="25" t="str">
        <f>IF(AD27="","",AD27*'Elementos Base'!AA$13)</f>
        <v/>
      </c>
      <c r="AE29" s="25" t="str">
        <f>IF(AE27="","",AE27*'Elementos Base'!AB$13)</f>
        <v/>
      </c>
      <c r="AF29" s="25" t="str">
        <f>IF(AF27="","",AF27*'Elementos Base'!AC$13)</f>
        <v/>
      </c>
      <c r="AG29" s="25" t="str">
        <f>IF(AG27="","",AG27*'Elementos Base'!AD$13)</f>
        <v/>
      </c>
      <c r="AH29" s="25" t="str">
        <f>IF(AH27="","",AH27*'Elementos Base'!AE$13)</f>
        <v/>
      </c>
      <c r="AI29" s="25" t="str">
        <f>IF(AI27="","",AI27*'Elementos Base'!AF$13)</f>
        <v/>
      </c>
      <c r="AJ29" s="96"/>
      <c r="AK29" s="26">
        <f t="shared" si="9"/>
        <v>0</v>
      </c>
      <c r="AL29" s="58">
        <f>AK29</f>
        <v>0</v>
      </c>
      <c r="AM29" s="26">
        <f>AL29*Ajustes!$H$25</f>
        <v>0</v>
      </c>
      <c r="AN29" s="30"/>
    </row>
    <row r="30" spans="2:40">
      <c r="B30" s="28"/>
      <c r="C30" s="28"/>
      <c r="D30" s="29"/>
      <c r="E30" s="145" t="s">
        <v>54</v>
      </c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32">
        <f t="shared" ref="AJ30:AJ31" si="10">SUM(F30:AI30)</f>
        <v>0</v>
      </c>
      <c r="AK30" s="23"/>
      <c r="AL30" s="24"/>
      <c r="AM30" s="23"/>
      <c r="AN30" s="95"/>
    </row>
    <row r="31" spans="2:40">
      <c r="B31" s="28"/>
      <c r="C31" s="28"/>
      <c r="D31" s="29"/>
      <c r="E31" s="145" t="s">
        <v>55</v>
      </c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32">
        <f t="shared" si="10"/>
        <v>0</v>
      </c>
      <c r="AK31" s="23"/>
      <c r="AL31" s="24"/>
      <c r="AM31" s="23"/>
      <c r="AN31" s="95"/>
    </row>
    <row r="32" spans="2:40">
      <c r="B32" s="28"/>
      <c r="C32" s="28"/>
      <c r="D32" s="30"/>
      <c r="E32" s="146" t="s">
        <v>56</v>
      </c>
      <c r="F32" s="25" t="str">
        <f>IF(F30="","",F30*'Elementos Base'!C$12)</f>
        <v/>
      </c>
      <c r="G32" s="25" t="str">
        <f>IF(G30="","",G30*'Elementos Base'!D$12)</f>
        <v/>
      </c>
      <c r="H32" s="25" t="str">
        <f>IF(H30="","",H30*'Elementos Base'!E$12)</f>
        <v/>
      </c>
      <c r="I32" s="25" t="str">
        <f>IF(I30="","",I30*'Elementos Base'!F$12)</f>
        <v/>
      </c>
      <c r="J32" s="25" t="str">
        <f>IF(J30="","",J30*'Elementos Base'!G$12)</f>
        <v/>
      </c>
      <c r="K32" s="25" t="str">
        <f>IF(K30="","",K30*'Elementos Base'!H$12)</f>
        <v/>
      </c>
      <c r="L32" s="25" t="str">
        <f>IF(L30="","",L30*'Elementos Base'!I$12)</f>
        <v/>
      </c>
      <c r="M32" s="25" t="str">
        <f>IF(M30="","",M30*'Elementos Base'!J$12)</f>
        <v/>
      </c>
      <c r="N32" s="25" t="str">
        <f>IF(N30="","",N30*'Elementos Base'!K$12)</f>
        <v/>
      </c>
      <c r="O32" s="25" t="str">
        <f>IF(O30="","",O30*'Elementos Base'!L$12)</f>
        <v/>
      </c>
      <c r="P32" s="25" t="str">
        <f>IF(P30="","",P30*'Elementos Base'!M$12)</f>
        <v/>
      </c>
      <c r="Q32" s="25" t="str">
        <f>IF(Q30="","",Q30*'Elementos Base'!N$12)</f>
        <v/>
      </c>
      <c r="R32" s="25" t="str">
        <f>IF(R30="","",R30*'Elementos Base'!O$12)</f>
        <v/>
      </c>
      <c r="S32" s="25" t="str">
        <f>IF(S30="","",S30*'Elementos Base'!P$12)</f>
        <v/>
      </c>
      <c r="T32" s="25" t="str">
        <f>IF(T30="","",T30*'Elementos Base'!Q$12)</f>
        <v/>
      </c>
      <c r="U32" s="25" t="str">
        <f>IF(U30="","",U30*'Elementos Base'!R$12)</f>
        <v/>
      </c>
      <c r="V32" s="25" t="str">
        <f>IF(V30="","",V30*'Elementos Base'!S$12)</f>
        <v/>
      </c>
      <c r="W32" s="25" t="str">
        <f>IF(W30="","",W30*'Elementos Base'!T$12)</f>
        <v/>
      </c>
      <c r="X32" s="25" t="str">
        <f>IF(X30="","",X30*'Elementos Base'!U$12)</f>
        <v/>
      </c>
      <c r="Y32" s="25" t="str">
        <f>IF(Y30="","",Y30*'Elementos Base'!V$12)</f>
        <v/>
      </c>
      <c r="Z32" s="25" t="str">
        <f>IF(Z30="","",Z30*'Elementos Base'!W$12)</f>
        <v/>
      </c>
      <c r="AA32" s="25" t="str">
        <f>IF(AA30="","",AA30*'Elementos Base'!X$12)</f>
        <v/>
      </c>
      <c r="AB32" s="25" t="str">
        <f>IF(AB30="","",AB30*'Elementos Base'!Y$12)</f>
        <v/>
      </c>
      <c r="AC32" s="25" t="str">
        <f>IF(AC30="","",AC30*'Elementos Base'!Z$12)</f>
        <v/>
      </c>
      <c r="AD32" s="25" t="str">
        <f>IF(AD30="","",AD30*'Elementos Base'!AA$12)</f>
        <v/>
      </c>
      <c r="AE32" s="25" t="str">
        <f>IF(AE30="","",AE30*'Elementos Base'!AB$12)</f>
        <v/>
      </c>
      <c r="AF32" s="25" t="str">
        <f>IF(AF30="","",AF30*'Elementos Base'!AC$12)</f>
        <v/>
      </c>
      <c r="AG32" s="25" t="str">
        <f>IF(AG30="","",AG30*'Elementos Base'!AD$12)</f>
        <v/>
      </c>
      <c r="AH32" s="25" t="str">
        <f>IF(AH30="","",AH30*'Elementos Base'!AE$12)</f>
        <v/>
      </c>
      <c r="AI32" s="25" t="str">
        <f>IF(AI30="","",AI30*'Elementos Base'!AF$12)</f>
        <v/>
      </c>
      <c r="AJ32" s="96"/>
      <c r="AK32" s="26">
        <f t="shared" ref="AK32:AK33" si="11">SUM(F32:AI32)</f>
        <v>0</v>
      </c>
      <c r="AL32" s="26">
        <f>AK32</f>
        <v>0</v>
      </c>
      <c r="AM32" s="26">
        <f>AL32*Ajustes!$H$25</f>
        <v>0</v>
      </c>
      <c r="AN32" s="30"/>
    </row>
    <row r="33" spans="2:40">
      <c r="B33" s="28"/>
      <c r="C33" s="28"/>
      <c r="D33" s="30"/>
      <c r="E33" s="146" t="s">
        <v>57</v>
      </c>
      <c r="F33" s="25" t="str">
        <f>IF(F31="","",F31*'Elementos Base'!C$13)</f>
        <v/>
      </c>
      <c r="G33" s="25" t="str">
        <f>IF(G31="","",G31*'Elementos Base'!D$13)</f>
        <v/>
      </c>
      <c r="H33" s="25" t="str">
        <f>IF(H31="","",H31*'Elementos Base'!E$13)</f>
        <v/>
      </c>
      <c r="I33" s="25" t="str">
        <f>IF(I31="","",I31*'Elementos Base'!F$13)</f>
        <v/>
      </c>
      <c r="J33" s="25" t="str">
        <f>IF(J31="","",J31*'Elementos Base'!G$13)</f>
        <v/>
      </c>
      <c r="K33" s="25" t="str">
        <f>IF(K31="","",K31*'Elementos Base'!H$13)</f>
        <v/>
      </c>
      <c r="L33" s="25" t="str">
        <f>IF(L31="","",L31*'Elementos Base'!I$13)</f>
        <v/>
      </c>
      <c r="M33" s="25" t="str">
        <f>IF(M31="","",M31*'Elementos Base'!J$13)</f>
        <v/>
      </c>
      <c r="N33" s="25" t="str">
        <f>IF(N31="","",N31*'Elementos Base'!K$13)</f>
        <v/>
      </c>
      <c r="O33" s="25" t="str">
        <f>IF(O31="","",O31*'Elementos Base'!L$13)</f>
        <v/>
      </c>
      <c r="P33" s="25" t="str">
        <f>IF(P31="","",P31*'Elementos Base'!M$13)</f>
        <v/>
      </c>
      <c r="Q33" s="25" t="str">
        <f>IF(Q31="","",Q31*'Elementos Base'!N$13)</f>
        <v/>
      </c>
      <c r="R33" s="25" t="str">
        <f>IF(R31="","",R31*'Elementos Base'!O$13)</f>
        <v/>
      </c>
      <c r="S33" s="25" t="str">
        <f>IF(S31="","",S31*'Elementos Base'!P$13)</f>
        <v/>
      </c>
      <c r="T33" s="25" t="str">
        <f>IF(T31="","",T31*'Elementos Base'!Q$13)</f>
        <v/>
      </c>
      <c r="U33" s="25" t="str">
        <f>IF(U31="","",U31*'Elementos Base'!R$13)</f>
        <v/>
      </c>
      <c r="V33" s="25" t="str">
        <f>IF(V31="","",V31*'Elementos Base'!S$13)</f>
        <v/>
      </c>
      <c r="W33" s="25" t="str">
        <f>IF(W31="","",W31*'Elementos Base'!T$13)</f>
        <v/>
      </c>
      <c r="X33" s="25" t="str">
        <f>IF(X31="","",X31*'Elementos Base'!U$13)</f>
        <v/>
      </c>
      <c r="Y33" s="25" t="str">
        <f>IF(Y31="","",Y31*'Elementos Base'!V$13)</f>
        <v/>
      </c>
      <c r="Z33" s="25" t="str">
        <f>IF(Z31="","",Z31*'Elementos Base'!W$13)</f>
        <v/>
      </c>
      <c r="AA33" s="25" t="str">
        <f>IF(AA31="","",AA31*'Elementos Base'!X$13)</f>
        <v/>
      </c>
      <c r="AB33" s="25" t="str">
        <f>IF(AB31="","",AB31*'Elementos Base'!Y$13)</f>
        <v/>
      </c>
      <c r="AC33" s="25" t="str">
        <f>IF(AC31="","",AC31*'Elementos Base'!Z$13)</f>
        <v/>
      </c>
      <c r="AD33" s="25" t="str">
        <f>IF(AD31="","",AD31*'Elementos Base'!AA$13)</f>
        <v/>
      </c>
      <c r="AE33" s="25" t="str">
        <f>IF(AE31="","",AE31*'Elementos Base'!AB$13)</f>
        <v/>
      </c>
      <c r="AF33" s="25" t="str">
        <f>IF(AF31="","",AF31*'Elementos Base'!AC$13)</f>
        <v/>
      </c>
      <c r="AG33" s="25" t="str">
        <f>IF(AG31="","",AG31*'Elementos Base'!AD$13)</f>
        <v/>
      </c>
      <c r="AH33" s="25" t="str">
        <f>IF(AH31="","",AH31*'Elementos Base'!AE$13)</f>
        <v/>
      </c>
      <c r="AI33" s="25" t="str">
        <f>IF(AI31="","",AI31*'Elementos Base'!AF$13)</f>
        <v/>
      </c>
      <c r="AJ33" s="96"/>
      <c r="AK33" s="26">
        <f t="shared" si="11"/>
        <v>0</v>
      </c>
      <c r="AL33" s="58">
        <f>AK33</f>
        <v>0</v>
      </c>
      <c r="AM33" s="26">
        <f>AL33*Ajustes!$H$25</f>
        <v>0</v>
      </c>
      <c r="AN33" s="30"/>
    </row>
    <row r="34" spans="2:40">
      <c r="B34" s="28"/>
      <c r="C34" s="28"/>
      <c r="D34" s="29"/>
      <c r="E34" s="145" t="s">
        <v>54</v>
      </c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32">
        <f t="shared" ref="AJ34:AJ35" si="12">SUM(F34:AI34)</f>
        <v>0</v>
      </c>
      <c r="AK34" s="23"/>
      <c r="AL34" s="24"/>
      <c r="AM34" s="23"/>
      <c r="AN34" s="95"/>
    </row>
    <row r="35" spans="2:40">
      <c r="B35" s="28"/>
      <c r="C35" s="28"/>
      <c r="D35" s="29"/>
      <c r="E35" s="145" t="s">
        <v>55</v>
      </c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32">
        <f t="shared" si="12"/>
        <v>0</v>
      </c>
      <c r="AK35" s="23"/>
      <c r="AL35" s="24"/>
      <c r="AM35" s="23"/>
      <c r="AN35" s="95"/>
    </row>
    <row r="36" spans="2:40">
      <c r="B36" s="28"/>
      <c r="C36" s="28"/>
      <c r="D36" s="30"/>
      <c r="E36" s="146" t="s">
        <v>56</v>
      </c>
      <c r="F36" s="25" t="str">
        <f>IF(F34="","",F34*'Elementos Base'!C$12)</f>
        <v/>
      </c>
      <c r="G36" s="25" t="str">
        <f>IF(G34="","",G34*'Elementos Base'!D$12)</f>
        <v/>
      </c>
      <c r="H36" s="25" t="str">
        <f>IF(H34="","",H34*'Elementos Base'!E$12)</f>
        <v/>
      </c>
      <c r="I36" s="25" t="str">
        <f>IF(I34="","",I34*'Elementos Base'!F$12)</f>
        <v/>
      </c>
      <c r="J36" s="25" t="str">
        <f>IF(J34="","",J34*'Elementos Base'!G$12)</f>
        <v/>
      </c>
      <c r="K36" s="25" t="str">
        <f>IF(K34="","",K34*'Elementos Base'!H$12)</f>
        <v/>
      </c>
      <c r="L36" s="25" t="str">
        <f>IF(L34="","",L34*'Elementos Base'!I$12)</f>
        <v/>
      </c>
      <c r="M36" s="25" t="str">
        <f>IF(M34="","",M34*'Elementos Base'!J$12)</f>
        <v/>
      </c>
      <c r="N36" s="25" t="str">
        <f>IF(N34="","",N34*'Elementos Base'!K$12)</f>
        <v/>
      </c>
      <c r="O36" s="25" t="str">
        <f>IF(O34="","",O34*'Elementos Base'!L$12)</f>
        <v/>
      </c>
      <c r="P36" s="25" t="str">
        <f>IF(P34="","",P34*'Elementos Base'!M$12)</f>
        <v/>
      </c>
      <c r="Q36" s="25" t="str">
        <f>IF(Q34="","",Q34*'Elementos Base'!N$12)</f>
        <v/>
      </c>
      <c r="R36" s="25" t="str">
        <f>IF(R34="","",R34*'Elementos Base'!O$12)</f>
        <v/>
      </c>
      <c r="S36" s="25" t="str">
        <f>IF(S34="","",S34*'Elementos Base'!P$12)</f>
        <v/>
      </c>
      <c r="T36" s="25" t="str">
        <f>IF(T34="","",T34*'Elementos Base'!Q$12)</f>
        <v/>
      </c>
      <c r="U36" s="25" t="str">
        <f>IF(U34="","",U34*'Elementos Base'!R$12)</f>
        <v/>
      </c>
      <c r="V36" s="25" t="str">
        <f>IF(V34="","",V34*'Elementos Base'!S$12)</f>
        <v/>
      </c>
      <c r="W36" s="25" t="str">
        <f>IF(W34="","",W34*'Elementos Base'!T$12)</f>
        <v/>
      </c>
      <c r="X36" s="25" t="str">
        <f>IF(X34="","",X34*'Elementos Base'!U$12)</f>
        <v/>
      </c>
      <c r="Y36" s="25" t="str">
        <f>IF(Y34="","",Y34*'Elementos Base'!V$12)</f>
        <v/>
      </c>
      <c r="Z36" s="25" t="str">
        <f>IF(Z34="","",Z34*'Elementos Base'!W$12)</f>
        <v/>
      </c>
      <c r="AA36" s="25" t="str">
        <f>IF(AA34="","",AA34*'Elementos Base'!X$12)</f>
        <v/>
      </c>
      <c r="AB36" s="25" t="str">
        <f>IF(AB34="","",AB34*'Elementos Base'!Y$12)</f>
        <v/>
      </c>
      <c r="AC36" s="25" t="str">
        <f>IF(AC34="","",AC34*'Elementos Base'!Z$12)</f>
        <v/>
      </c>
      <c r="AD36" s="25" t="str">
        <f>IF(AD34="","",AD34*'Elementos Base'!AA$12)</f>
        <v/>
      </c>
      <c r="AE36" s="25" t="str">
        <f>IF(AE34="","",AE34*'Elementos Base'!AB$12)</f>
        <v/>
      </c>
      <c r="AF36" s="25" t="str">
        <f>IF(AF34="","",AF34*'Elementos Base'!AC$12)</f>
        <v/>
      </c>
      <c r="AG36" s="25" t="str">
        <f>IF(AG34="","",AG34*'Elementos Base'!AD$12)</f>
        <v/>
      </c>
      <c r="AH36" s="25" t="str">
        <f>IF(AH34="","",AH34*'Elementos Base'!AE$12)</f>
        <v/>
      </c>
      <c r="AI36" s="25" t="str">
        <f>IF(AI34="","",AI34*'Elementos Base'!AF$12)</f>
        <v/>
      </c>
      <c r="AJ36" s="96"/>
      <c r="AK36" s="26">
        <f t="shared" ref="AK36:AK37" si="13">SUM(F36:AI36)</f>
        <v>0</v>
      </c>
      <c r="AL36" s="26">
        <f>AK36</f>
        <v>0</v>
      </c>
      <c r="AM36" s="26">
        <f>AL36*Ajustes!$H$25</f>
        <v>0</v>
      </c>
      <c r="AN36" s="30"/>
    </row>
    <row r="37" spans="2:40">
      <c r="B37" s="28"/>
      <c r="C37" s="28"/>
      <c r="D37" s="30"/>
      <c r="E37" s="146" t="s">
        <v>57</v>
      </c>
      <c r="F37" s="25" t="str">
        <f>IF(F35="","",F35*'Elementos Base'!C$13)</f>
        <v/>
      </c>
      <c r="G37" s="25" t="str">
        <f>IF(G35="","",G35*'Elementos Base'!D$13)</f>
        <v/>
      </c>
      <c r="H37" s="25" t="str">
        <f>IF(H35="","",H35*'Elementos Base'!E$13)</f>
        <v/>
      </c>
      <c r="I37" s="25" t="str">
        <f>IF(I35="","",I35*'Elementos Base'!F$13)</f>
        <v/>
      </c>
      <c r="J37" s="25" t="str">
        <f>IF(J35="","",J35*'Elementos Base'!G$13)</f>
        <v/>
      </c>
      <c r="K37" s="25" t="str">
        <f>IF(K35="","",K35*'Elementos Base'!H$13)</f>
        <v/>
      </c>
      <c r="L37" s="25" t="str">
        <f>IF(L35="","",L35*'Elementos Base'!I$13)</f>
        <v/>
      </c>
      <c r="M37" s="25" t="str">
        <f>IF(M35="","",M35*'Elementos Base'!J$13)</f>
        <v/>
      </c>
      <c r="N37" s="25" t="str">
        <f>IF(N35="","",N35*'Elementos Base'!K$13)</f>
        <v/>
      </c>
      <c r="O37" s="25" t="str">
        <f>IF(O35="","",O35*'Elementos Base'!L$13)</f>
        <v/>
      </c>
      <c r="P37" s="25" t="str">
        <f>IF(P35="","",P35*'Elementos Base'!M$13)</f>
        <v/>
      </c>
      <c r="Q37" s="25" t="str">
        <f>IF(Q35="","",Q35*'Elementos Base'!N$13)</f>
        <v/>
      </c>
      <c r="R37" s="25" t="str">
        <f>IF(R35="","",R35*'Elementos Base'!O$13)</f>
        <v/>
      </c>
      <c r="S37" s="25" t="str">
        <f>IF(S35="","",S35*'Elementos Base'!P$13)</f>
        <v/>
      </c>
      <c r="T37" s="25" t="str">
        <f>IF(T35="","",T35*'Elementos Base'!Q$13)</f>
        <v/>
      </c>
      <c r="U37" s="25" t="str">
        <f>IF(U35="","",U35*'Elementos Base'!R$13)</f>
        <v/>
      </c>
      <c r="V37" s="25" t="str">
        <f>IF(V35="","",V35*'Elementos Base'!S$13)</f>
        <v/>
      </c>
      <c r="W37" s="25" t="str">
        <f>IF(W35="","",W35*'Elementos Base'!T$13)</f>
        <v/>
      </c>
      <c r="X37" s="25" t="str">
        <f>IF(X35="","",X35*'Elementos Base'!U$13)</f>
        <v/>
      </c>
      <c r="Y37" s="25" t="str">
        <f>IF(Y35="","",Y35*'Elementos Base'!V$13)</f>
        <v/>
      </c>
      <c r="Z37" s="25" t="str">
        <f>IF(Z35="","",Z35*'Elementos Base'!W$13)</f>
        <v/>
      </c>
      <c r="AA37" s="25" t="str">
        <f>IF(AA35="","",AA35*'Elementos Base'!X$13)</f>
        <v/>
      </c>
      <c r="AB37" s="25" t="str">
        <f>IF(AB35="","",AB35*'Elementos Base'!Y$13)</f>
        <v/>
      </c>
      <c r="AC37" s="25" t="str">
        <f>IF(AC35="","",AC35*'Elementos Base'!Z$13)</f>
        <v/>
      </c>
      <c r="AD37" s="25" t="str">
        <f>IF(AD35="","",AD35*'Elementos Base'!AA$13)</f>
        <v/>
      </c>
      <c r="AE37" s="25" t="str">
        <f>IF(AE35="","",AE35*'Elementos Base'!AB$13)</f>
        <v/>
      </c>
      <c r="AF37" s="25" t="str">
        <f>IF(AF35="","",AF35*'Elementos Base'!AC$13)</f>
        <v/>
      </c>
      <c r="AG37" s="25" t="str">
        <f>IF(AG35="","",AG35*'Elementos Base'!AD$13)</f>
        <v/>
      </c>
      <c r="AH37" s="25" t="str">
        <f>IF(AH35="","",AH35*'Elementos Base'!AE$13)</f>
        <v/>
      </c>
      <c r="AI37" s="25" t="str">
        <f>IF(AI35="","",AI35*'Elementos Base'!AF$13)</f>
        <v/>
      </c>
      <c r="AJ37" s="96"/>
      <c r="AK37" s="26">
        <f t="shared" si="13"/>
        <v>0</v>
      </c>
      <c r="AL37" s="58">
        <f>AK37</f>
        <v>0</v>
      </c>
      <c r="AM37" s="26">
        <f>AL37*Ajustes!$H$25</f>
        <v>0</v>
      </c>
      <c r="AN37" s="30"/>
    </row>
    <row r="38" spans="2:40">
      <c r="B38" s="28"/>
      <c r="C38" s="28"/>
      <c r="D38" s="151"/>
      <c r="E38" s="145" t="s">
        <v>54</v>
      </c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32">
        <f t="shared" ref="AJ38:AJ39" si="14">SUM(F38:AI38)</f>
        <v>0</v>
      </c>
      <c r="AK38" s="23"/>
      <c r="AL38" s="24"/>
      <c r="AM38" s="23"/>
      <c r="AN38" s="95"/>
    </row>
    <row r="39" spans="2:40">
      <c r="B39" s="28"/>
      <c r="C39" s="28"/>
      <c r="D39" s="29"/>
      <c r="E39" s="145" t="s">
        <v>55</v>
      </c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32">
        <f t="shared" si="14"/>
        <v>0</v>
      </c>
      <c r="AK39" s="23"/>
      <c r="AL39" s="24"/>
      <c r="AM39" s="23"/>
      <c r="AN39" s="95"/>
    </row>
    <row r="40" spans="2:40">
      <c r="B40" s="28"/>
      <c r="C40" s="28"/>
      <c r="D40" s="30"/>
      <c r="E40" s="146" t="s">
        <v>56</v>
      </c>
      <c r="F40" s="25" t="str">
        <f>IF(F38="","",F38*'Elementos Base'!C$12)</f>
        <v/>
      </c>
      <c r="G40" s="25" t="str">
        <f>IF(G38="","",G38*'Elementos Base'!D$12)</f>
        <v/>
      </c>
      <c r="H40" s="25" t="str">
        <f>IF(H38="","",H38*'Elementos Base'!E$12)</f>
        <v/>
      </c>
      <c r="I40" s="25" t="str">
        <f>IF(I38="","",I38*'Elementos Base'!F$12)</f>
        <v/>
      </c>
      <c r="J40" s="25" t="str">
        <f>IF(J38="","",J38*'Elementos Base'!G$12)</f>
        <v/>
      </c>
      <c r="K40" s="25" t="str">
        <f>IF(K38="","",K38*'Elementos Base'!H$12)</f>
        <v/>
      </c>
      <c r="L40" s="25" t="str">
        <f>IF(L38="","",L38*'Elementos Base'!I$12)</f>
        <v/>
      </c>
      <c r="M40" s="25" t="str">
        <f>IF(M38="","",M38*'Elementos Base'!J$12)</f>
        <v/>
      </c>
      <c r="N40" s="25" t="str">
        <f>IF(N38="","",N38*'Elementos Base'!K$12)</f>
        <v/>
      </c>
      <c r="O40" s="25" t="str">
        <f>IF(O38="","",O38*'Elementos Base'!L$12)</f>
        <v/>
      </c>
      <c r="P40" s="25" t="str">
        <f>IF(P38="","",P38*'Elementos Base'!M$12)</f>
        <v/>
      </c>
      <c r="Q40" s="25" t="str">
        <f>IF(Q38="","",Q38*'Elementos Base'!N$12)</f>
        <v/>
      </c>
      <c r="R40" s="25" t="str">
        <f>IF(R38="","",R38*'Elementos Base'!O$12)</f>
        <v/>
      </c>
      <c r="S40" s="25" t="str">
        <f>IF(S38="","",S38*'Elementos Base'!P$12)</f>
        <v/>
      </c>
      <c r="T40" s="25" t="str">
        <f>IF(T38="","",T38*'Elementos Base'!Q$12)</f>
        <v/>
      </c>
      <c r="U40" s="25" t="str">
        <f>IF(U38="","",U38*'Elementos Base'!R$12)</f>
        <v/>
      </c>
      <c r="V40" s="25" t="str">
        <f>IF(V38="","",V38*'Elementos Base'!S$12)</f>
        <v/>
      </c>
      <c r="W40" s="25" t="str">
        <f>IF(W38="","",W38*'Elementos Base'!T$12)</f>
        <v/>
      </c>
      <c r="X40" s="25" t="str">
        <f>IF(X38="","",X38*'Elementos Base'!U$12)</f>
        <v/>
      </c>
      <c r="Y40" s="25" t="str">
        <f>IF(Y38="","",Y38*'Elementos Base'!V$12)</f>
        <v/>
      </c>
      <c r="Z40" s="25" t="str">
        <f>IF(Z38="","",Z38*'Elementos Base'!W$12)</f>
        <v/>
      </c>
      <c r="AA40" s="25" t="str">
        <f>IF(AA38="","",AA38*'Elementos Base'!X$12)</f>
        <v/>
      </c>
      <c r="AB40" s="25" t="str">
        <f>IF(AB38="","",AB38*'Elementos Base'!Y$12)</f>
        <v/>
      </c>
      <c r="AC40" s="25" t="str">
        <f>IF(AC38="","",AC38*'Elementos Base'!Z$12)</f>
        <v/>
      </c>
      <c r="AD40" s="25" t="str">
        <f>IF(AD38="","",AD38*'Elementos Base'!AA$12)</f>
        <v/>
      </c>
      <c r="AE40" s="25" t="str">
        <f>IF(AE38="","",AE38*'Elementos Base'!AB$12)</f>
        <v/>
      </c>
      <c r="AF40" s="25" t="str">
        <f>IF(AF38="","",AF38*'Elementos Base'!AC$12)</f>
        <v/>
      </c>
      <c r="AG40" s="25" t="str">
        <f>IF(AG38="","",AG38*'Elementos Base'!AD$12)</f>
        <v/>
      </c>
      <c r="AH40" s="25" t="str">
        <f>IF(AH38="","",AH38*'Elementos Base'!AE$12)</f>
        <v/>
      </c>
      <c r="AI40" s="25" t="str">
        <f>IF(AI38="","",AI38*'Elementos Base'!AF$12)</f>
        <v/>
      </c>
      <c r="AJ40" s="96"/>
      <c r="AK40" s="26">
        <f t="shared" ref="AK40:AK41" si="15">SUM(F40:AI40)</f>
        <v>0</v>
      </c>
      <c r="AL40" s="26">
        <f>AK40</f>
        <v>0</v>
      </c>
      <c r="AM40" s="26">
        <f>AL40*Ajustes!$H$25</f>
        <v>0</v>
      </c>
      <c r="AN40" s="30"/>
    </row>
    <row r="41" spans="2:40">
      <c r="B41" s="28"/>
      <c r="C41" s="28"/>
      <c r="D41" s="30"/>
      <c r="E41" s="146" t="s">
        <v>57</v>
      </c>
      <c r="F41" s="25" t="str">
        <f>IF(F39="","",F39*'Elementos Base'!C$13)</f>
        <v/>
      </c>
      <c r="G41" s="25" t="str">
        <f>IF(G39="","",G39*'Elementos Base'!D$13)</f>
        <v/>
      </c>
      <c r="H41" s="25" t="str">
        <f>IF(H39="","",H39*'Elementos Base'!E$13)</f>
        <v/>
      </c>
      <c r="I41" s="25" t="str">
        <f>IF(I39="","",I39*'Elementos Base'!F$13)</f>
        <v/>
      </c>
      <c r="J41" s="25" t="str">
        <f>IF(J39="","",J39*'Elementos Base'!G$13)</f>
        <v/>
      </c>
      <c r="K41" s="25" t="str">
        <f>IF(K39="","",K39*'Elementos Base'!H$13)</f>
        <v/>
      </c>
      <c r="L41" s="25" t="str">
        <f>IF(L39="","",L39*'Elementos Base'!I$13)</f>
        <v/>
      </c>
      <c r="M41" s="25" t="str">
        <f>IF(M39="","",M39*'Elementos Base'!J$13)</f>
        <v/>
      </c>
      <c r="N41" s="25" t="str">
        <f>IF(N39="","",N39*'Elementos Base'!K$13)</f>
        <v/>
      </c>
      <c r="O41" s="25" t="str">
        <f>IF(O39="","",O39*'Elementos Base'!L$13)</f>
        <v/>
      </c>
      <c r="P41" s="25" t="str">
        <f>IF(P39="","",P39*'Elementos Base'!M$13)</f>
        <v/>
      </c>
      <c r="Q41" s="25" t="str">
        <f>IF(Q39="","",Q39*'Elementos Base'!N$13)</f>
        <v/>
      </c>
      <c r="R41" s="25" t="str">
        <f>IF(R39="","",R39*'Elementos Base'!O$13)</f>
        <v/>
      </c>
      <c r="S41" s="25" t="str">
        <f>IF(S39="","",S39*'Elementos Base'!P$13)</f>
        <v/>
      </c>
      <c r="T41" s="25" t="str">
        <f>IF(T39="","",T39*'Elementos Base'!Q$13)</f>
        <v/>
      </c>
      <c r="U41" s="25" t="str">
        <f>IF(U39="","",U39*'Elementos Base'!R$13)</f>
        <v/>
      </c>
      <c r="V41" s="25" t="str">
        <f>IF(V39="","",V39*'Elementos Base'!S$13)</f>
        <v/>
      </c>
      <c r="W41" s="25" t="str">
        <f>IF(W39="","",W39*'Elementos Base'!T$13)</f>
        <v/>
      </c>
      <c r="X41" s="25" t="str">
        <f>IF(X39="","",X39*'Elementos Base'!U$13)</f>
        <v/>
      </c>
      <c r="Y41" s="25" t="str">
        <f>IF(Y39="","",Y39*'Elementos Base'!V$13)</f>
        <v/>
      </c>
      <c r="Z41" s="25" t="str">
        <f>IF(Z39="","",Z39*'Elementos Base'!W$13)</f>
        <v/>
      </c>
      <c r="AA41" s="25" t="str">
        <f>IF(AA39="","",AA39*'Elementos Base'!X$13)</f>
        <v/>
      </c>
      <c r="AB41" s="25" t="str">
        <f>IF(AB39="","",AB39*'Elementos Base'!Y$13)</f>
        <v/>
      </c>
      <c r="AC41" s="25" t="str">
        <f>IF(AC39="","",AC39*'Elementos Base'!Z$13)</f>
        <v/>
      </c>
      <c r="AD41" s="25" t="str">
        <f>IF(AD39="","",AD39*'Elementos Base'!AA$13)</f>
        <v/>
      </c>
      <c r="AE41" s="25" t="str">
        <f>IF(AE39="","",AE39*'Elementos Base'!AB$13)</f>
        <v/>
      </c>
      <c r="AF41" s="25" t="str">
        <f>IF(AF39="","",AF39*'Elementos Base'!AC$13)</f>
        <v/>
      </c>
      <c r="AG41" s="25" t="str">
        <f>IF(AG39="","",AG39*'Elementos Base'!AD$13)</f>
        <v/>
      </c>
      <c r="AH41" s="25" t="str">
        <f>IF(AH39="","",AH39*'Elementos Base'!AE$13)</f>
        <v/>
      </c>
      <c r="AI41" s="25" t="str">
        <f>IF(AI39="","",AI39*'Elementos Base'!AF$13)</f>
        <v/>
      </c>
      <c r="AJ41" s="96"/>
      <c r="AK41" s="26">
        <f t="shared" si="15"/>
        <v>0</v>
      </c>
      <c r="AL41" s="58">
        <f>AK41</f>
        <v>0</v>
      </c>
      <c r="AM41" s="26">
        <f>AL41*Ajustes!$H$25</f>
        <v>0</v>
      </c>
      <c r="AN41" s="30"/>
    </row>
    <row r="42" spans="2:40">
      <c r="B42" s="28"/>
      <c r="C42" s="28"/>
      <c r="D42" s="151"/>
      <c r="E42" s="145" t="s">
        <v>54</v>
      </c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32">
        <f t="shared" ref="AJ42:AJ43" si="16">SUM(F42:AI42)</f>
        <v>0</v>
      </c>
      <c r="AK42" s="23"/>
      <c r="AL42" s="24"/>
      <c r="AM42" s="23"/>
      <c r="AN42" s="95"/>
    </row>
    <row r="43" spans="2:40">
      <c r="B43" s="28"/>
      <c r="C43" s="28"/>
      <c r="D43" s="29"/>
      <c r="E43" s="145" t="s">
        <v>55</v>
      </c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32">
        <f t="shared" si="16"/>
        <v>0</v>
      </c>
      <c r="AK43" s="23"/>
      <c r="AL43" s="24"/>
      <c r="AM43" s="23"/>
      <c r="AN43" s="95"/>
    </row>
    <row r="44" spans="2:40">
      <c r="B44" s="28"/>
      <c r="C44" s="28"/>
      <c r="D44" s="30"/>
      <c r="E44" s="146" t="s">
        <v>56</v>
      </c>
      <c r="F44" s="25" t="str">
        <f>IF(F42="","",F42*'Elementos Base'!C$12)</f>
        <v/>
      </c>
      <c r="G44" s="25" t="str">
        <f>IF(G42="","",G42*'Elementos Base'!D$12)</f>
        <v/>
      </c>
      <c r="H44" s="25" t="str">
        <f>IF(H42="","",H42*'Elementos Base'!E$12)</f>
        <v/>
      </c>
      <c r="I44" s="25" t="str">
        <f>IF(I42="","",I42*'Elementos Base'!F$12)</f>
        <v/>
      </c>
      <c r="J44" s="25" t="str">
        <f>IF(J42="","",J42*'Elementos Base'!G$12)</f>
        <v/>
      </c>
      <c r="K44" s="25" t="str">
        <f>IF(K42="","",K42*'Elementos Base'!H$12)</f>
        <v/>
      </c>
      <c r="L44" s="25" t="str">
        <f>IF(L42="","",L42*'Elementos Base'!I$12)</f>
        <v/>
      </c>
      <c r="M44" s="25" t="str">
        <f>IF(M42="","",M42*'Elementos Base'!J$12)</f>
        <v/>
      </c>
      <c r="N44" s="25" t="str">
        <f>IF(N42="","",N42*'Elementos Base'!K$12)</f>
        <v/>
      </c>
      <c r="O44" s="25" t="str">
        <f>IF(O42="","",O42*'Elementos Base'!L$12)</f>
        <v/>
      </c>
      <c r="P44" s="25" t="str">
        <f>IF(P42="","",P42*'Elementos Base'!M$12)</f>
        <v/>
      </c>
      <c r="Q44" s="25" t="str">
        <f>IF(Q42="","",Q42*'Elementos Base'!N$12)</f>
        <v/>
      </c>
      <c r="R44" s="25" t="str">
        <f>IF(R42="","",R42*'Elementos Base'!O$12)</f>
        <v/>
      </c>
      <c r="S44" s="25" t="str">
        <f>IF(S42="","",S42*'Elementos Base'!P$12)</f>
        <v/>
      </c>
      <c r="T44" s="25" t="str">
        <f>IF(T42="","",T42*'Elementos Base'!Q$12)</f>
        <v/>
      </c>
      <c r="U44" s="25" t="str">
        <f>IF(U42="","",U42*'Elementos Base'!R$12)</f>
        <v/>
      </c>
      <c r="V44" s="25" t="str">
        <f>IF(V42="","",V42*'Elementos Base'!S$12)</f>
        <v/>
      </c>
      <c r="W44" s="25" t="str">
        <f>IF(W42="","",W42*'Elementos Base'!T$12)</f>
        <v/>
      </c>
      <c r="X44" s="25" t="str">
        <f>IF(X42="","",X42*'Elementos Base'!U$12)</f>
        <v/>
      </c>
      <c r="Y44" s="25" t="str">
        <f>IF(Y42="","",Y42*'Elementos Base'!V$12)</f>
        <v/>
      </c>
      <c r="Z44" s="25" t="str">
        <f>IF(Z42="","",Z42*'Elementos Base'!W$12)</f>
        <v/>
      </c>
      <c r="AA44" s="25" t="str">
        <f>IF(AA42="","",AA42*'Elementos Base'!X$12)</f>
        <v/>
      </c>
      <c r="AB44" s="25" t="str">
        <f>IF(AB42="","",AB42*'Elementos Base'!Y$12)</f>
        <v/>
      </c>
      <c r="AC44" s="25" t="str">
        <f>IF(AC42="","",AC42*'Elementos Base'!Z$12)</f>
        <v/>
      </c>
      <c r="AD44" s="25" t="str">
        <f>IF(AD42="","",AD42*'Elementos Base'!AA$12)</f>
        <v/>
      </c>
      <c r="AE44" s="25" t="str">
        <f>IF(AE42="","",AE42*'Elementos Base'!AB$12)</f>
        <v/>
      </c>
      <c r="AF44" s="25" t="str">
        <f>IF(AF42="","",AF42*'Elementos Base'!AC$12)</f>
        <v/>
      </c>
      <c r="AG44" s="25" t="str">
        <f>IF(AG42="","",AG42*'Elementos Base'!AD$12)</f>
        <v/>
      </c>
      <c r="AH44" s="25" t="str">
        <f>IF(AH42="","",AH42*'Elementos Base'!AE$12)</f>
        <v/>
      </c>
      <c r="AI44" s="25" t="str">
        <f>IF(AI42="","",AI42*'Elementos Base'!AF$12)</f>
        <v/>
      </c>
      <c r="AJ44" s="96"/>
      <c r="AK44" s="26">
        <f t="shared" ref="AK44:AK45" si="17">SUM(F44:AI44)</f>
        <v>0</v>
      </c>
      <c r="AL44" s="26">
        <f>AK44</f>
        <v>0</v>
      </c>
      <c r="AM44" s="26">
        <f>AL44*Ajustes!$H$25</f>
        <v>0</v>
      </c>
      <c r="AN44" s="30"/>
    </row>
    <row r="45" spans="2:40">
      <c r="B45" s="28"/>
      <c r="C45" s="28"/>
      <c r="D45" s="30"/>
      <c r="E45" s="146" t="s">
        <v>57</v>
      </c>
      <c r="F45" s="25" t="str">
        <f>IF(F43="","",F43*'Elementos Base'!C$13)</f>
        <v/>
      </c>
      <c r="G45" s="25" t="str">
        <f>IF(G43="","",G43*'Elementos Base'!D$13)</f>
        <v/>
      </c>
      <c r="H45" s="25" t="str">
        <f>IF(H43="","",H43*'Elementos Base'!E$13)</f>
        <v/>
      </c>
      <c r="I45" s="25" t="str">
        <f>IF(I43="","",I43*'Elementos Base'!F$13)</f>
        <v/>
      </c>
      <c r="J45" s="25" t="str">
        <f>IF(J43="","",J43*'Elementos Base'!G$13)</f>
        <v/>
      </c>
      <c r="K45" s="25" t="str">
        <f>IF(K43="","",K43*'Elementos Base'!H$13)</f>
        <v/>
      </c>
      <c r="L45" s="25" t="str">
        <f>IF(L43="","",L43*'Elementos Base'!I$13)</f>
        <v/>
      </c>
      <c r="M45" s="25" t="str">
        <f>IF(M43="","",M43*'Elementos Base'!J$13)</f>
        <v/>
      </c>
      <c r="N45" s="25" t="str">
        <f>IF(N43="","",N43*'Elementos Base'!K$13)</f>
        <v/>
      </c>
      <c r="O45" s="25" t="str">
        <f>IF(O43="","",O43*'Elementos Base'!L$13)</f>
        <v/>
      </c>
      <c r="P45" s="25" t="str">
        <f>IF(P43="","",P43*'Elementos Base'!M$13)</f>
        <v/>
      </c>
      <c r="Q45" s="25" t="str">
        <f>IF(Q43="","",Q43*'Elementos Base'!N$13)</f>
        <v/>
      </c>
      <c r="R45" s="25" t="str">
        <f>IF(R43="","",R43*'Elementos Base'!O$13)</f>
        <v/>
      </c>
      <c r="S45" s="25" t="str">
        <f>IF(S43="","",S43*'Elementos Base'!P$13)</f>
        <v/>
      </c>
      <c r="T45" s="25" t="str">
        <f>IF(T43="","",T43*'Elementos Base'!Q$13)</f>
        <v/>
      </c>
      <c r="U45" s="25" t="str">
        <f>IF(U43="","",U43*'Elementos Base'!R$13)</f>
        <v/>
      </c>
      <c r="V45" s="25" t="str">
        <f>IF(V43="","",V43*'Elementos Base'!S$13)</f>
        <v/>
      </c>
      <c r="W45" s="25" t="str">
        <f>IF(W43="","",W43*'Elementos Base'!T$13)</f>
        <v/>
      </c>
      <c r="X45" s="25" t="str">
        <f>IF(X43="","",X43*'Elementos Base'!U$13)</f>
        <v/>
      </c>
      <c r="Y45" s="25" t="str">
        <f>IF(Y43="","",Y43*'Elementos Base'!V$13)</f>
        <v/>
      </c>
      <c r="Z45" s="25" t="str">
        <f>IF(Z43="","",Z43*'Elementos Base'!W$13)</f>
        <v/>
      </c>
      <c r="AA45" s="25" t="str">
        <f>IF(AA43="","",AA43*'Elementos Base'!X$13)</f>
        <v/>
      </c>
      <c r="AB45" s="25" t="str">
        <f>IF(AB43="","",AB43*'Elementos Base'!Y$13)</f>
        <v/>
      </c>
      <c r="AC45" s="25" t="str">
        <f>IF(AC43="","",AC43*'Elementos Base'!Z$13)</f>
        <v/>
      </c>
      <c r="AD45" s="25" t="str">
        <f>IF(AD43="","",AD43*'Elementos Base'!AA$13)</f>
        <v/>
      </c>
      <c r="AE45" s="25" t="str">
        <f>IF(AE43="","",AE43*'Elementos Base'!AB$13)</f>
        <v/>
      </c>
      <c r="AF45" s="25" t="str">
        <f>IF(AF43="","",AF43*'Elementos Base'!AC$13)</f>
        <v/>
      </c>
      <c r="AG45" s="25" t="str">
        <f>IF(AG43="","",AG43*'Elementos Base'!AD$13)</f>
        <v/>
      </c>
      <c r="AH45" s="25" t="str">
        <f>IF(AH43="","",AH43*'Elementos Base'!AE$13)</f>
        <v/>
      </c>
      <c r="AI45" s="25" t="str">
        <f>IF(AI43="","",AI43*'Elementos Base'!AF$13)</f>
        <v/>
      </c>
      <c r="AJ45" s="96"/>
      <c r="AK45" s="26">
        <f t="shared" si="17"/>
        <v>0</v>
      </c>
      <c r="AL45" s="58">
        <f>AK45</f>
        <v>0</v>
      </c>
      <c r="AM45" s="26">
        <f>AL45*Ajustes!$H$25</f>
        <v>0</v>
      </c>
      <c r="AN45" s="30"/>
    </row>
    <row r="46" spans="2:40">
      <c r="B46" s="28"/>
      <c r="C46" s="28"/>
      <c r="D46" s="31"/>
      <c r="E46" s="145" t="s">
        <v>54</v>
      </c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32">
        <f t="shared" ref="AJ46:AJ47" si="18">SUM(F46:AI46)</f>
        <v>0</v>
      </c>
      <c r="AK46" s="23"/>
      <c r="AL46" s="24"/>
      <c r="AM46" s="23"/>
      <c r="AN46" s="95"/>
    </row>
    <row r="47" spans="2:40">
      <c r="B47" s="28"/>
      <c r="C47" s="28"/>
      <c r="D47" s="29"/>
      <c r="E47" s="145" t="s">
        <v>55</v>
      </c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32">
        <f t="shared" si="18"/>
        <v>0</v>
      </c>
      <c r="AK47" s="23"/>
      <c r="AL47" s="24"/>
      <c r="AM47" s="23"/>
      <c r="AN47" s="95"/>
    </row>
    <row r="48" spans="2:40">
      <c r="B48" s="28"/>
      <c r="C48" s="28"/>
      <c r="D48" s="30"/>
      <c r="E48" s="146" t="s">
        <v>56</v>
      </c>
      <c r="F48" s="25" t="str">
        <f>IF(F46="","",F46*'Elementos Base'!C$12)</f>
        <v/>
      </c>
      <c r="G48" s="25" t="str">
        <f>IF(G46="","",G46*'Elementos Base'!D$12)</f>
        <v/>
      </c>
      <c r="H48" s="25" t="str">
        <f>IF(H46="","",H46*'Elementos Base'!E$12)</f>
        <v/>
      </c>
      <c r="I48" s="25" t="str">
        <f>IF(I46="","",I46*'Elementos Base'!F$12)</f>
        <v/>
      </c>
      <c r="J48" s="25" t="str">
        <f>IF(J46="","",J46*'Elementos Base'!G$12)</f>
        <v/>
      </c>
      <c r="K48" s="25" t="str">
        <f>IF(K46="","",K46*'Elementos Base'!H$12)</f>
        <v/>
      </c>
      <c r="L48" s="25" t="str">
        <f>IF(L46="","",L46*'Elementos Base'!I$12)</f>
        <v/>
      </c>
      <c r="M48" s="25" t="str">
        <f>IF(M46="","",M46*'Elementos Base'!J$12)</f>
        <v/>
      </c>
      <c r="N48" s="25" t="str">
        <f>IF(N46="","",N46*'Elementos Base'!K$12)</f>
        <v/>
      </c>
      <c r="O48" s="25" t="str">
        <f>IF(O46="","",O46*'Elementos Base'!L$12)</f>
        <v/>
      </c>
      <c r="P48" s="25" t="str">
        <f>IF(P46="","",P46*'Elementos Base'!M$12)</f>
        <v/>
      </c>
      <c r="Q48" s="25" t="str">
        <f>IF(Q46="","",Q46*'Elementos Base'!N$12)</f>
        <v/>
      </c>
      <c r="R48" s="25" t="str">
        <f>IF(R46="","",R46*'Elementos Base'!O$12)</f>
        <v/>
      </c>
      <c r="S48" s="25" t="str">
        <f>IF(S46="","",S46*'Elementos Base'!P$12)</f>
        <v/>
      </c>
      <c r="T48" s="25" t="str">
        <f>IF(T46="","",T46*'Elementos Base'!Q$12)</f>
        <v/>
      </c>
      <c r="U48" s="25" t="str">
        <f>IF(U46="","",U46*'Elementos Base'!R$12)</f>
        <v/>
      </c>
      <c r="V48" s="25" t="str">
        <f>IF(V46="","",V46*'Elementos Base'!S$12)</f>
        <v/>
      </c>
      <c r="W48" s="25" t="str">
        <f>IF(W46="","",W46*'Elementos Base'!T$12)</f>
        <v/>
      </c>
      <c r="X48" s="25" t="str">
        <f>IF(X46="","",X46*'Elementos Base'!U$12)</f>
        <v/>
      </c>
      <c r="Y48" s="25" t="str">
        <f>IF(Y46="","",Y46*'Elementos Base'!V$12)</f>
        <v/>
      </c>
      <c r="Z48" s="25" t="str">
        <f>IF(Z46="","",Z46*'Elementos Base'!W$12)</f>
        <v/>
      </c>
      <c r="AA48" s="25" t="str">
        <f>IF(AA46="","",AA46*'Elementos Base'!X$12)</f>
        <v/>
      </c>
      <c r="AB48" s="25" t="str">
        <f>IF(AB46="","",AB46*'Elementos Base'!Y$12)</f>
        <v/>
      </c>
      <c r="AC48" s="25" t="str">
        <f>IF(AC46="","",AC46*'Elementos Base'!Z$12)</f>
        <v/>
      </c>
      <c r="AD48" s="25" t="str">
        <f>IF(AD46="","",AD46*'Elementos Base'!AA$12)</f>
        <v/>
      </c>
      <c r="AE48" s="25" t="str">
        <f>IF(AE46="","",AE46*'Elementos Base'!AB$12)</f>
        <v/>
      </c>
      <c r="AF48" s="25" t="str">
        <f>IF(AF46="","",AF46*'Elementos Base'!AC$12)</f>
        <v/>
      </c>
      <c r="AG48" s="25" t="str">
        <f>IF(AG46="","",AG46*'Elementos Base'!AD$12)</f>
        <v/>
      </c>
      <c r="AH48" s="25" t="str">
        <f>IF(AH46="","",AH46*'Elementos Base'!AE$12)</f>
        <v/>
      </c>
      <c r="AI48" s="25" t="str">
        <f>IF(AI46="","",AI46*'Elementos Base'!AF$12)</f>
        <v/>
      </c>
      <c r="AJ48" s="96"/>
      <c r="AK48" s="26">
        <f t="shared" ref="AK48:AK49" si="19">SUM(F48:AI48)</f>
        <v>0</v>
      </c>
      <c r="AL48" s="26">
        <f>AK48</f>
        <v>0</v>
      </c>
      <c r="AM48" s="26">
        <f>AL48*Ajustes!$H$25</f>
        <v>0</v>
      </c>
      <c r="AN48" s="30"/>
    </row>
    <row r="49" spans="2:40">
      <c r="B49" s="28"/>
      <c r="C49" s="28"/>
      <c r="D49" s="30"/>
      <c r="E49" s="146" t="s">
        <v>57</v>
      </c>
      <c r="F49" s="25" t="str">
        <f>IF(F47="","",F47*'Elementos Base'!C$13)</f>
        <v/>
      </c>
      <c r="G49" s="25" t="str">
        <f>IF(G47="","",G47*'Elementos Base'!D$13)</f>
        <v/>
      </c>
      <c r="H49" s="25" t="str">
        <f>IF(H47="","",H47*'Elementos Base'!E$13)</f>
        <v/>
      </c>
      <c r="I49" s="25" t="str">
        <f>IF(I47="","",I47*'Elementos Base'!F$13)</f>
        <v/>
      </c>
      <c r="J49" s="25" t="str">
        <f>IF(J47="","",J47*'Elementos Base'!G$13)</f>
        <v/>
      </c>
      <c r="K49" s="25" t="str">
        <f>IF(K47="","",K47*'Elementos Base'!H$13)</f>
        <v/>
      </c>
      <c r="L49" s="25" t="str">
        <f>IF(L47="","",L47*'Elementos Base'!I$13)</f>
        <v/>
      </c>
      <c r="M49" s="25" t="str">
        <f>IF(M47="","",M47*'Elementos Base'!J$13)</f>
        <v/>
      </c>
      <c r="N49" s="25" t="str">
        <f>IF(N47="","",N47*'Elementos Base'!K$13)</f>
        <v/>
      </c>
      <c r="O49" s="25" t="str">
        <f>IF(O47="","",O47*'Elementos Base'!L$13)</f>
        <v/>
      </c>
      <c r="P49" s="25" t="str">
        <f>IF(P47="","",P47*'Elementos Base'!M$13)</f>
        <v/>
      </c>
      <c r="Q49" s="25" t="str">
        <f>IF(Q47="","",Q47*'Elementos Base'!N$13)</f>
        <v/>
      </c>
      <c r="R49" s="25" t="str">
        <f>IF(R47="","",R47*'Elementos Base'!O$13)</f>
        <v/>
      </c>
      <c r="S49" s="25" t="str">
        <f>IF(S47="","",S47*'Elementos Base'!P$13)</f>
        <v/>
      </c>
      <c r="T49" s="25" t="str">
        <f>IF(T47="","",T47*'Elementos Base'!Q$13)</f>
        <v/>
      </c>
      <c r="U49" s="25" t="str">
        <f>IF(U47="","",U47*'Elementos Base'!R$13)</f>
        <v/>
      </c>
      <c r="V49" s="25" t="str">
        <f>IF(V47="","",V47*'Elementos Base'!S$13)</f>
        <v/>
      </c>
      <c r="W49" s="25" t="str">
        <f>IF(W47="","",W47*'Elementos Base'!T$13)</f>
        <v/>
      </c>
      <c r="X49" s="25" t="str">
        <f>IF(X47="","",X47*'Elementos Base'!U$13)</f>
        <v/>
      </c>
      <c r="Y49" s="25" t="str">
        <f>IF(Y47="","",Y47*'Elementos Base'!V$13)</f>
        <v/>
      </c>
      <c r="Z49" s="25" t="str">
        <f>IF(Z47="","",Z47*'Elementos Base'!W$13)</f>
        <v/>
      </c>
      <c r="AA49" s="25" t="str">
        <f>IF(AA47="","",AA47*'Elementos Base'!X$13)</f>
        <v/>
      </c>
      <c r="AB49" s="25" t="str">
        <f>IF(AB47="","",AB47*'Elementos Base'!Y$13)</f>
        <v/>
      </c>
      <c r="AC49" s="25" t="str">
        <f>IF(AC47="","",AC47*'Elementos Base'!Z$13)</f>
        <v/>
      </c>
      <c r="AD49" s="25" t="str">
        <f>IF(AD47="","",AD47*'Elementos Base'!AA$13)</f>
        <v/>
      </c>
      <c r="AE49" s="25" t="str">
        <f>IF(AE47="","",AE47*'Elementos Base'!AB$13)</f>
        <v/>
      </c>
      <c r="AF49" s="25" t="str">
        <f>IF(AF47="","",AF47*'Elementos Base'!AC$13)</f>
        <v/>
      </c>
      <c r="AG49" s="25" t="str">
        <f>IF(AG47="","",AG47*'Elementos Base'!AD$13)</f>
        <v/>
      </c>
      <c r="AH49" s="25" t="str">
        <f>IF(AH47="","",AH47*'Elementos Base'!AE$13)</f>
        <v/>
      </c>
      <c r="AI49" s="25" t="str">
        <f>IF(AI47="","",AI47*'Elementos Base'!AF$13)</f>
        <v/>
      </c>
      <c r="AJ49" s="96"/>
      <c r="AK49" s="26">
        <f t="shared" si="19"/>
        <v>0</v>
      </c>
      <c r="AL49" s="58">
        <f>AK49</f>
        <v>0</v>
      </c>
      <c r="AM49" s="26">
        <f>AL49*Ajustes!$H$25</f>
        <v>0</v>
      </c>
      <c r="AN49" s="30"/>
    </row>
    <row r="50" spans="2:40">
      <c r="B50" s="28"/>
      <c r="C50" s="28"/>
      <c r="D50" s="29"/>
      <c r="E50" s="145" t="s">
        <v>54</v>
      </c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32">
        <f t="shared" ref="AJ50:AJ51" si="20">SUM(F50:AI50)</f>
        <v>0</v>
      </c>
      <c r="AK50" s="23"/>
      <c r="AL50" s="24"/>
      <c r="AM50" s="23"/>
      <c r="AN50" s="95"/>
    </row>
    <row r="51" spans="2:40">
      <c r="B51" s="28"/>
      <c r="C51" s="28"/>
      <c r="D51" s="29"/>
      <c r="E51" s="145" t="s">
        <v>55</v>
      </c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32">
        <f t="shared" si="20"/>
        <v>0</v>
      </c>
      <c r="AK51" s="23"/>
      <c r="AL51" s="24"/>
      <c r="AM51" s="23"/>
      <c r="AN51" s="95"/>
    </row>
    <row r="52" spans="2:40">
      <c r="B52" s="28"/>
      <c r="C52" s="28"/>
      <c r="D52" s="30"/>
      <c r="E52" s="146" t="s">
        <v>56</v>
      </c>
      <c r="F52" s="25" t="str">
        <f>IF(F50="","",F50*'Elementos Base'!C$12)</f>
        <v/>
      </c>
      <c r="G52" s="25" t="str">
        <f>IF(G50="","",G50*'Elementos Base'!D$12)</f>
        <v/>
      </c>
      <c r="H52" s="25" t="str">
        <f>IF(H50="","",H50*'Elementos Base'!E$12)</f>
        <v/>
      </c>
      <c r="I52" s="25" t="str">
        <f>IF(I50="","",I50*'Elementos Base'!F$12)</f>
        <v/>
      </c>
      <c r="J52" s="25" t="str">
        <f>IF(J50="","",J50*'Elementos Base'!G$12)</f>
        <v/>
      </c>
      <c r="K52" s="25" t="str">
        <f>IF(K50="","",K50*'Elementos Base'!H$12)</f>
        <v/>
      </c>
      <c r="L52" s="25" t="str">
        <f>IF(L50="","",L50*'Elementos Base'!I$12)</f>
        <v/>
      </c>
      <c r="M52" s="25" t="str">
        <f>IF(M50="","",M50*'Elementos Base'!J$12)</f>
        <v/>
      </c>
      <c r="N52" s="25" t="str">
        <f>IF(N50="","",N50*'Elementos Base'!K$12)</f>
        <v/>
      </c>
      <c r="O52" s="25" t="str">
        <f>IF(O50="","",O50*'Elementos Base'!L$12)</f>
        <v/>
      </c>
      <c r="P52" s="25" t="str">
        <f>IF(P50="","",P50*'Elementos Base'!M$12)</f>
        <v/>
      </c>
      <c r="Q52" s="25" t="str">
        <f>IF(Q50="","",Q50*'Elementos Base'!N$12)</f>
        <v/>
      </c>
      <c r="R52" s="25" t="str">
        <f>IF(R50="","",R50*'Elementos Base'!O$12)</f>
        <v/>
      </c>
      <c r="S52" s="25" t="str">
        <f>IF(S50="","",S50*'Elementos Base'!P$12)</f>
        <v/>
      </c>
      <c r="T52" s="25" t="str">
        <f>IF(T50="","",T50*'Elementos Base'!Q$12)</f>
        <v/>
      </c>
      <c r="U52" s="25" t="str">
        <f>IF(U50="","",U50*'Elementos Base'!R$12)</f>
        <v/>
      </c>
      <c r="V52" s="25" t="str">
        <f>IF(V50="","",V50*'Elementos Base'!S$12)</f>
        <v/>
      </c>
      <c r="W52" s="25" t="str">
        <f>IF(W50="","",W50*'Elementos Base'!T$12)</f>
        <v/>
      </c>
      <c r="X52" s="25" t="str">
        <f>IF(X50="","",X50*'Elementos Base'!U$12)</f>
        <v/>
      </c>
      <c r="Y52" s="25" t="str">
        <f>IF(Y50="","",Y50*'Elementos Base'!V$12)</f>
        <v/>
      </c>
      <c r="Z52" s="25" t="str">
        <f>IF(Z50="","",Z50*'Elementos Base'!W$12)</f>
        <v/>
      </c>
      <c r="AA52" s="25" t="str">
        <f>IF(AA50="","",AA50*'Elementos Base'!X$12)</f>
        <v/>
      </c>
      <c r="AB52" s="25" t="str">
        <f>IF(AB50="","",AB50*'Elementos Base'!Y$12)</f>
        <v/>
      </c>
      <c r="AC52" s="25" t="str">
        <f>IF(AC50="","",AC50*'Elementos Base'!Z$12)</f>
        <v/>
      </c>
      <c r="AD52" s="25" t="str">
        <f>IF(AD50="","",AD50*'Elementos Base'!AA$12)</f>
        <v/>
      </c>
      <c r="AE52" s="25" t="str">
        <f>IF(AE50="","",AE50*'Elementos Base'!AB$12)</f>
        <v/>
      </c>
      <c r="AF52" s="25" t="str">
        <f>IF(AF50="","",AF50*'Elementos Base'!AC$12)</f>
        <v/>
      </c>
      <c r="AG52" s="25" t="str">
        <f>IF(AG50="","",AG50*'Elementos Base'!AD$12)</f>
        <v/>
      </c>
      <c r="AH52" s="25" t="str">
        <f>IF(AH50="","",AH50*'Elementos Base'!AE$12)</f>
        <v/>
      </c>
      <c r="AI52" s="25" t="str">
        <f>IF(AI50="","",AI50*'Elementos Base'!AF$12)</f>
        <v/>
      </c>
      <c r="AJ52" s="96"/>
      <c r="AK52" s="26">
        <f t="shared" ref="AK52:AK53" si="21">SUM(F52:AI52)</f>
        <v>0</v>
      </c>
      <c r="AL52" s="26">
        <f>AK52</f>
        <v>0</v>
      </c>
      <c r="AM52" s="26">
        <f>AL52*Ajustes!$H$25</f>
        <v>0</v>
      </c>
      <c r="AN52" s="30"/>
    </row>
    <row r="53" spans="2:40">
      <c r="B53" s="28"/>
      <c r="C53" s="28"/>
      <c r="D53" s="30"/>
      <c r="E53" s="146" t="s">
        <v>57</v>
      </c>
      <c r="F53" s="25" t="str">
        <f>IF(F51="","",F51*'Elementos Base'!C$13)</f>
        <v/>
      </c>
      <c r="G53" s="25" t="str">
        <f>IF(G51="","",G51*'Elementos Base'!D$13)</f>
        <v/>
      </c>
      <c r="H53" s="25" t="str">
        <f>IF(H51="","",H51*'Elementos Base'!E$13)</f>
        <v/>
      </c>
      <c r="I53" s="25" t="str">
        <f>IF(I51="","",I51*'Elementos Base'!F$13)</f>
        <v/>
      </c>
      <c r="J53" s="25" t="str">
        <f>IF(J51="","",J51*'Elementos Base'!G$13)</f>
        <v/>
      </c>
      <c r="K53" s="25" t="str">
        <f>IF(K51="","",K51*'Elementos Base'!H$13)</f>
        <v/>
      </c>
      <c r="L53" s="25" t="str">
        <f>IF(L51="","",L51*'Elementos Base'!I$13)</f>
        <v/>
      </c>
      <c r="M53" s="25" t="str">
        <f>IF(M51="","",M51*'Elementos Base'!J$13)</f>
        <v/>
      </c>
      <c r="N53" s="25" t="str">
        <f>IF(N51="","",N51*'Elementos Base'!K$13)</f>
        <v/>
      </c>
      <c r="O53" s="25" t="str">
        <f>IF(O51="","",O51*'Elementos Base'!L$13)</f>
        <v/>
      </c>
      <c r="P53" s="25" t="str">
        <f>IF(P51="","",P51*'Elementos Base'!M$13)</f>
        <v/>
      </c>
      <c r="Q53" s="25" t="str">
        <f>IF(Q51="","",Q51*'Elementos Base'!N$13)</f>
        <v/>
      </c>
      <c r="R53" s="25" t="str">
        <f>IF(R51="","",R51*'Elementos Base'!O$13)</f>
        <v/>
      </c>
      <c r="S53" s="25" t="str">
        <f>IF(S51="","",S51*'Elementos Base'!P$13)</f>
        <v/>
      </c>
      <c r="T53" s="25" t="str">
        <f>IF(T51="","",T51*'Elementos Base'!Q$13)</f>
        <v/>
      </c>
      <c r="U53" s="25" t="str">
        <f>IF(U51="","",U51*'Elementos Base'!R$13)</f>
        <v/>
      </c>
      <c r="V53" s="25" t="str">
        <f>IF(V51="","",V51*'Elementos Base'!S$13)</f>
        <v/>
      </c>
      <c r="W53" s="25" t="str">
        <f>IF(W51="","",W51*'Elementos Base'!T$13)</f>
        <v/>
      </c>
      <c r="X53" s="25" t="str">
        <f>IF(X51="","",X51*'Elementos Base'!U$13)</f>
        <v/>
      </c>
      <c r="Y53" s="25" t="str">
        <f>IF(Y51="","",Y51*'Elementos Base'!V$13)</f>
        <v/>
      </c>
      <c r="Z53" s="25" t="str">
        <f>IF(Z51="","",Z51*'Elementos Base'!W$13)</f>
        <v/>
      </c>
      <c r="AA53" s="25" t="str">
        <f>IF(AA51="","",AA51*'Elementos Base'!X$13)</f>
        <v/>
      </c>
      <c r="AB53" s="25" t="str">
        <f>IF(AB51="","",AB51*'Elementos Base'!Y$13)</f>
        <v/>
      </c>
      <c r="AC53" s="25" t="str">
        <f>IF(AC51="","",AC51*'Elementos Base'!Z$13)</f>
        <v/>
      </c>
      <c r="AD53" s="25" t="str">
        <f>IF(AD51="","",AD51*'Elementos Base'!AA$13)</f>
        <v/>
      </c>
      <c r="AE53" s="25" t="str">
        <f>IF(AE51="","",AE51*'Elementos Base'!AB$13)</f>
        <v/>
      </c>
      <c r="AF53" s="25" t="str">
        <f>IF(AF51="","",AF51*'Elementos Base'!AC$13)</f>
        <v/>
      </c>
      <c r="AG53" s="25" t="str">
        <f>IF(AG51="","",AG51*'Elementos Base'!AD$13)</f>
        <v/>
      </c>
      <c r="AH53" s="25" t="str">
        <f>IF(AH51="","",AH51*'Elementos Base'!AE$13)</f>
        <v/>
      </c>
      <c r="AI53" s="25" t="str">
        <f>IF(AI51="","",AI51*'Elementos Base'!AF$13)</f>
        <v/>
      </c>
      <c r="AJ53" s="96"/>
      <c r="AK53" s="26">
        <f t="shared" si="21"/>
        <v>0</v>
      </c>
      <c r="AL53" s="58">
        <f>AK53</f>
        <v>0</v>
      </c>
      <c r="AM53" s="26">
        <f>AL53*Ajustes!$H$25</f>
        <v>0</v>
      </c>
      <c r="AN53" s="30"/>
    </row>
    <row r="54" spans="2:40">
      <c r="B54" s="28"/>
      <c r="C54" s="28"/>
      <c r="D54" s="29"/>
      <c r="E54" s="145" t="s">
        <v>54</v>
      </c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32">
        <f t="shared" ref="AJ54:AJ55" si="22">SUM(F54:AI54)</f>
        <v>0</v>
      </c>
      <c r="AK54" s="23"/>
      <c r="AL54" s="24"/>
      <c r="AM54" s="23"/>
      <c r="AN54" s="95"/>
    </row>
    <row r="55" spans="2:40">
      <c r="B55" s="28"/>
      <c r="C55" s="28"/>
      <c r="D55" s="29"/>
      <c r="E55" s="145" t="s">
        <v>55</v>
      </c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32">
        <f t="shared" si="22"/>
        <v>0</v>
      </c>
      <c r="AK55" s="23"/>
      <c r="AL55" s="24"/>
      <c r="AM55" s="23"/>
      <c r="AN55" s="95"/>
    </row>
    <row r="56" spans="2:40">
      <c r="B56" s="28"/>
      <c r="C56" s="28"/>
      <c r="D56" s="30"/>
      <c r="E56" s="146" t="s">
        <v>56</v>
      </c>
      <c r="F56" s="25" t="str">
        <f>IF(F54="","",F54*'Elementos Base'!C$12)</f>
        <v/>
      </c>
      <c r="G56" s="25" t="str">
        <f>IF(G54="","",G54*'Elementos Base'!D$12)</f>
        <v/>
      </c>
      <c r="H56" s="25" t="str">
        <f>IF(H54="","",H54*'Elementos Base'!E$12)</f>
        <v/>
      </c>
      <c r="I56" s="25" t="str">
        <f>IF(I54="","",I54*'Elementos Base'!F$12)</f>
        <v/>
      </c>
      <c r="J56" s="25" t="str">
        <f>IF(J54="","",J54*'Elementos Base'!G$12)</f>
        <v/>
      </c>
      <c r="K56" s="25" t="str">
        <f>IF(K54="","",K54*'Elementos Base'!H$12)</f>
        <v/>
      </c>
      <c r="L56" s="25" t="str">
        <f>IF(L54="","",L54*'Elementos Base'!I$12)</f>
        <v/>
      </c>
      <c r="M56" s="25" t="str">
        <f>IF(M54="","",M54*'Elementos Base'!J$12)</f>
        <v/>
      </c>
      <c r="N56" s="25" t="str">
        <f>IF(N54="","",N54*'Elementos Base'!K$12)</f>
        <v/>
      </c>
      <c r="O56" s="25" t="str">
        <f>IF(O54="","",O54*'Elementos Base'!L$12)</f>
        <v/>
      </c>
      <c r="P56" s="25" t="str">
        <f>IF(P54="","",P54*'Elementos Base'!M$12)</f>
        <v/>
      </c>
      <c r="Q56" s="25" t="str">
        <f>IF(Q54="","",Q54*'Elementos Base'!N$12)</f>
        <v/>
      </c>
      <c r="R56" s="25" t="str">
        <f>IF(R54="","",R54*'Elementos Base'!O$12)</f>
        <v/>
      </c>
      <c r="S56" s="25" t="str">
        <f>IF(S54="","",S54*'Elementos Base'!P$12)</f>
        <v/>
      </c>
      <c r="T56" s="25" t="str">
        <f>IF(T54="","",T54*'Elementos Base'!Q$12)</f>
        <v/>
      </c>
      <c r="U56" s="25" t="str">
        <f>IF(U54="","",U54*'Elementos Base'!R$12)</f>
        <v/>
      </c>
      <c r="V56" s="25" t="str">
        <f>IF(V54="","",V54*'Elementos Base'!S$12)</f>
        <v/>
      </c>
      <c r="W56" s="25" t="str">
        <f>IF(W54="","",W54*'Elementos Base'!T$12)</f>
        <v/>
      </c>
      <c r="X56" s="25" t="str">
        <f>IF(X54="","",X54*'Elementos Base'!U$12)</f>
        <v/>
      </c>
      <c r="Y56" s="25" t="str">
        <f>IF(Y54="","",Y54*'Elementos Base'!V$12)</f>
        <v/>
      </c>
      <c r="Z56" s="25" t="str">
        <f>IF(Z54="","",Z54*'Elementos Base'!W$12)</f>
        <v/>
      </c>
      <c r="AA56" s="25" t="str">
        <f>IF(AA54="","",AA54*'Elementos Base'!X$12)</f>
        <v/>
      </c>
      <c r="AB56" s="25" t="str">
        <f>IF(AB54="","",AB54*'Elementos Base'!Y$12)</f>
        <v/>
      </c>
      <c r="AC56" s="25" t="str">
        <f>IF(AC54="","",AC54*'Elementos Base'!Z$12)</f>
        <v/>
      </c>
      <c r="AD56" s="25" t="str">
        <f>IF(AD54="","",AD54*'Elementos Base'!AA$12)</f>
        <v/>
      </c>
      <c r="AE56" s="25" t="str">
        <f>IF(AE54="","",AE54*'Elementos Base'!AB$12)</f>
        <v/>
      </c>
      <c r="AF56" s="25" t="str">
        <f>IF(AF54="","",AF54*'Elementos Base'!AC$12)</f>
        <v/>
      </c>
      <c r="AG56" s="25" t="str">
        <f>IF(AG54="","",AG54*'Elementos Base'!AD$12)</f>
        <v/>
      </c>
      <c r="AH56" s="25" t="str">
        <f>IF(AH54="","",AH54*'Elementos Base'!AE$12)</f>
        <v/>
      </c>
      <c r="AI56" s="25" t="str">
        <f>IF(AI54="","",AI54*'Elementos Base'!AF$12)</f>
        <v/>
      </c>
      <c r="AJ56" s="96"/>
      <c r="AK56" s="26">
        <f t="shared" ref="AK56:AK57" si="23">SUM(F56:AI56)</f>
        <v>0</v>
      </c>
      <c r="AL56" s="26">
        <f>AK56</f>
        <v>0</v>
      </c>
      <c r="AM56" s="26">
        <f>AL56*Ajustes!$H$25</f>
        <v>0</v>
      </c>
      <c r="AN56" s="30"/>
    </row>
    <row r="57" spans="2:40">
      <c r="B57" s="28"/>
      <c r="C57" s="28"/>
      <c r="D57" s="30"/>
      <c r="E57" s="146" t="s">
        <v>57</v>
      </c>
      <c r="F57" s="25" t="str">
        <f>IF(F55="","",F55*'Elementos Base'!C$13)</f>
        <v/>
      </c>
      <c r="G57" s="25" t="str">
        <f>IF(G55="","",G55*'Elementos Base'!D$13)</f>
        <v/>
      </c>
      <c r="H57" s="25" t="str">
        <f>IF(H55="","",H55*'Elementos Base'!E$13)</f>
        <v/>
      </c>
      <c r="I57" s="25" t="str">
        <f>IF(I55="","",I55*'Elementos Base'!F$13)</f>
        <v/>
      </c>
      <c r="J57" s="25" t="str">
        <f>IF(J55="","",J55*'Elementos Base'!G$13)</f>
        <v/>
      </c>
      <c r="K57" s="25" t="str">
        <f>IF(K55="","",K55*'Elementos Base'!H$13)</f>
        <v/>
      </c>
      <c r="L57" s="25" t="str">
        <f>IF(L55="","",L55*'Elementos Base'!I$13)</f>
        <v/>
      </c>
      <c r="M57" s="25" t="str">
        <f>IF(M55="","",M55*'Elementos Base'!J$13)</f>
        <v/>
      </c>
      <c r="N57" s="25" t="str">
        <f>IF(N55="","",N55*'Elementos Base'!K$13)</f>
        <v/>
      </c>
      <c r="O57" s="25" t="str">
        <f>IF(O55="","",O55*'Elementos Base'!L$13)</f>
        <v/>
      </c>
      <c r="P57" s="25" t="str">
        <f>IF(P55="","",P55*'Elementos Base'!M$13)</f>
        <v/>
      </c>
      <c r="Q57" s="25" t="str">
        <f>IF(Q55="","",Q55*'Elementos Base'!N$13)</f>
        <v/>
      </c>
      <c r="R57" s="25" t="str">
        <f>IF(R55="","",R55*'Elementos Base'!O$13)</f>
        <v/>
      </c>
      <c r="S57" s="25" t="str">
        <f>IF(S55="","",S55*'Elementos Base'!P$13)</f>
        <v/>
      </c>
      <c r="T57" s="25" t="str">
        <f>IF(T55="","",T55*'Elementos Base'!Q$13)</f>
        <v/>
      </c>
      <c r="U57" s="25" t="str">
        <f>IF(U55="","",U55*'Elementos Base'!R$13)</f>
        <v/>
      </c>
      <c r="V57" s="25" t="str">
        <f>IF(V55="","",V55*'Elementos Base'!S$13)</f>
        <v/>
      </c>
      <c r="W57" s="25" t="str">
        <f>IF(W55="","",W55*'Elementos Base'!T$13)</f>
        <v/>
      </c>
      <c r="X57" s="25" t="str">
        <f>IF(X55="","",X55*'Elementos Base'!U$13)</f>
        <v/>
      </c>
      <c r="Y57" s="25" t="str">
        <f>IF(Y55="","",Y55*'Elementos Base'!V$13)</f>
        <v/>
      </c>
      <c r="Z57" s="25" t="str">
        <f>IF(Z55="","",Z55*'Elementos Base'!W$13)</f>
        <v/>
      </c>
      <c r="AA57" s="25" t="str">
        <f>IF(AA55="","",AA55*'Elementos Base'!X$13)</f>
        <v/>
      </c>
      <c r="AB57" s="25" t="str">
        <f>IF(AB55="","",AB55*'Elementos Base'!Y$13)</f>
        <v/>
      </c>
      <c r="AC57" s="25" t="str">
        <f>IF(AC55="","",AC55*'Elementos Base'!Z$13)</f>
        <v/>
      </c>
      <c r="AD57" s="25" t="str">
        <f>IF(AD55="","",AD55*'Elementos Base'!AA$13)</f>
        <v/>
      </c>
      <c r="AE57" s="25" t="str">
        <f>IF(AE55="","",AE55*'Elementos Base'!AB$13)</f>
        <v/>
      </c>
      <c r="AF57" s="25" t="str">
        <f>IF(AF55="","",AF55*'Elementos Base'!AC$13)</f>
        <v/>
      </c>
      <c r="AG57" s="25" t="str">
        <f>IF(AG55="","",AG55*'Elementos Base'!AD$13)</f>
        <v/>
      </c>
      <c r="AH57" s="25" t="str">
        <f>IF(AH55="","",AH55*'Elementos Base'!AE$13)</f>
        <v/>
      </c>
      <c r="AI57" s="25" t="str">
        <f>IF(AI55="","",AI55*'Elementos Base'!AF$13)</f>
        <v/>
      </c>
      <c r="AJ57" s="96"/>
      <c r="AK57" s="26">
        <f t="shared" si="23"/>
        <v>0</v>
      </c>
      <c r="AL57" s="58">
        <f>AK57</f>
        <v>0</v>
      </c>
      <c r="AM57" s="26">
        <f>AL57*Ajustes!$H$25</f>
        <v>0</v>
      </c>
      <c r="AN57" s="30"/>
    </row>
    <row r="58" spans="2:40">
      <c r="B58" s="28"/>
      <c r="C58" s="28"/>
      <c r="D58" s="29"/>
      <c r="E58" s="145" t="s">
        <v>54</v>
      </c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32">
        <f t="shared" ref="AJ58:AJ59" si="24">SUM(F58:AI58)</f>
        <v>0</v>
      </c>
      <c r="AK58" s="23"/>
      <c r="AL58" s="24"/>
      <c r="AM58" s="23"/>
      <c r="AN58" s="95"/>
    </row>
    <row r="59" spans="2:40">
      <c r="B59" s="28"/>
      <c r="C59" s="28"/>
      <c r="D59" s="29"/>
      <c r="E59" s="145" t="s">
        <v>55</v>
      </c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32">
        <f t="shared" si="24"/>
        <v>0</v>
      </c>
      <c r="AK59" s="23"/>
      <c r="AL59" s="24"/>
      <c r="AM59" s="23"/>
      <c r="AN59" s="95"/>
    </row>
    <row r="60" spans="2:40">
      <c r="B60" s="28"/>
      <c r="C60" s="28"/>
      <c r="D60" s="30"/>
      <c r="E60" s="146" t="s">
        <v>56</v>
      </c>
      <c r="F60" s="25" t="str">
        <f>IF(F58="","",F58*'Elementos Base'!C$12)</f>
        <v/>
      </c>
      <c r="G60" s="25" t="str">
        <f>IF(G58="","",G58*'Elementos Base'!D$12)</f>
        <v/>
      </c>
      <c r="H60" s="25" t="str">
        <f>IF(H58="","",H58*'Elementos Base'!E$12)</f>
        <v/>
      </c>
      <c r="I60" s="25" t="str">
        <f>IF(I58="","",I58*'Elementos Base'!F$12)</f>
        <v/>
      </c>
      <c r="J60" s="25" t="str">
        <f>IF(J58="","",J58*'Elementos Base'!G$12)</f>
        <v/>
      </c>
      <c r="K60" s="25" t="str">
        <f>IF(K58="","",K58*'Elementos Base'!H$12)</f>
        <v/>
      </c>
      <c r="L60" s="25" t="str">
        <f>IF(L58="","",L58*'Elementos Base'!I$12)</f>
        <v/>
      </c>
      <c r="M60" s="25" t="str">
        <f>IF(M58="","",M58*'Elementos Base'!J$12)</f>
        <v/>
      </c>
      <c r="N60" s="25" t="str">
        <f>IF(N58="","",N58*'Elementos Base'!K$12)</f>
        <v/>
      </c>
      <c r="O60" s="25" t="str">
        <f>IF(O58="","",O58*'Elementos Base'!L$12)</f>
        <v/>
      </c>
      <c r="P60" s="25" t="str">
        <f>IF(P58="","",P58*'Elementos Base'!M$12)</f>
        <v/>
      </c>
      <c r="Q60" s="25" t="str">
        <f>IF(Q58="","",Q58*'Elementos Base'!N$12)</f>
        <v/>
      </c>
      <c r="R60" s="25" t="str">
        <f>IF(R58="","",R58*'Elementos Base'!O$12)</f>
        <v/>
      </c>
      <c r="S60" s="25" t="str">
        <f>IF(S58="","",S58*'Elementos Base'!P$12)</f>
        <v/>
      </c>
      <c r="T60" s="25" t="str">
        <f>IF(T58="","",T58*'Elementos Base'!Q$12)</f>
        <v/>
      </c>
      <c r="U60" s="25" t="str">
        <f>IF(U58="","",U58*'Elementos Base'!R$12)</f>
        <v/>
      </c>
      <c r="V60" s="25" t="str">
        <f>IF(V58="","",V58*'Elementos Base'!S$12)</f>
        <v/>
      </c>
      <c r="W60" s="25" t="str">
        <f>IF(W58="","",W58*'Elementos Base'!T$12)</f>
        <v/>
      </c>
      <c r="X60" s="25" t="str">
        <f>IF(X58="","",X58*'Elementos Base'!U$12)</f>
        <v/>
      </c>
      <c r="Y60" s="25" t="str">
        <f>IF(Y58="","",Y58*'Elementos Base'!V$12)</f>
        <v/>
      </c>
      <c r="Z60" s="25" t="str">
        <f>IF(Z58="","",Z58*'Elementos Base'!W$12)</f>
        <v/>
      </c>
      <c r="AA60" s="25" t="str">
        <f>IF(AA58="","",AA58*'Elementos Base'!X$12)</f>
        <v/>
      </c>
      <c r="AB60" s="25" t="str">
        <f>IF(AB58="","",AB58*'Elementos Base'!Y$12)</f>
        <v/>
      </c>
      <c r="AC60" s="25" t="str">
        <f>IF(AC58="","",AC58*'Elementos Base'!Z$12)</f>
        <v/>
      </c>
      <c r="AD60" s="25" t="str">
        <f>IF(AD58="","",AD58*'Elementos Base'!AA$12)</f>
        <v/>
      </c>
      <c r="AE60" s="25" t="str">
        <f>IF(AE58="","",AE58*'Elementos Base'!AB$12)</f>
        <v/>
      </c>
      <c r="AF60" s="25" t="str">
        <f>IF(AF58="","",AF58*'Elementos Base'!AC$12)</f>
        <v/>
      </c>
      <c r="AG60" s="25" t="str">
        <f>IF(AG58="","",AG58*'Elementos Base'!AD$12)</f>
        <v/>
      </c>
      <c r="AH60" s="25" t="str">
        <f>IF(AH58="","",AH58*'Elementos Base'!AE$12)</f>
        <v/>
      </c>
      <c r="AI60" s="25" t="str">
        <f>IF(AI58="","",AI58*'Elementos Base'!AF$12)</f>
        <v/>
      </c>
      <c r="AJ60" s="96"/>
      <c r="AK60" s="26">
        <f t="shared" ref="AK60:AK61" si="25">SUM(F60:AI60)</f>
        <v>0</v>
      </c>
      <c r="AL60" s="26">
        <f>AK60</f>
        <v>0</v>
      </c>
      <c r="AM60" s="26">
        <f>AL60*Ajustes!$H$25</f>
        <v>0</v>
      </c>
      <c r="AN60" s="30"/>
    </row>
    <row r="61" spans="2:40">
      <c r="B61" s="28"/>
      <c r="C61" s="28"/>
      <c r="D61" s="30"/>
      <c r="E61" s="146" t="s">
        <v>57</v>
      </c>
      <c r="F61" s="25" t="str">
        <f>IF(F59="","",F59*'Elementos Base'!C$13)</f>
        <v/>
      </c>
      <c r="G61" s="25" t="str">
        <f>IF(G59="","",G59*'Elementos Base'!D$13)</f>
        <v/>
      </c>
      <c r="H61" s="25" t="str">
        <f>IF(H59="","",H59*'Elementos Base'!E$13)</f>
        <v/>
      </c>
      <c r="I61" s="25" t="str">
        <f>IF(I59="","",I59*'Elementos Base'!F$13)</f>
        <v/>
      </c>
      <c r="J61" s="25" t="str">
        <f>IF(J59="","",J59*'Elementos Base'!G$13)</f>
        <v/>
      </c>
      <c r="K61" s="25" t="str">
        <f>IF(K59="","",K59*'Elementos Base'!H$13)</f>
        <v/>
      </c>
      <c r="L61" s="25" t="str">
        <f>IF(L59="","",L59*'Elementos Base'!I$13)</f>
        <v/>
      </c>
      <c r="M61" s="25" t="str">
        <f>IF(M59="","",M59*'Elementos Base'!J$13)</f>
        <v/>
      </c>
      <c r="N61" s="25" t="str">
        <f>IF(N59="","",N59*'Elementos Base'!K$13)</f>
        <v/>
      </c>
      <c r="O61" s="25" t="str">
        <f>IF(O59="","",O59*'Elementos Base'!L$13)</f>
        <v/>
      </c>
      <c r="P61" s="25" t="str">
        <f>IF(P59="","",P59*'Elementos Base'!M$13)</f>
        <v/>
      </c>
      <c r="Q61" s="25" t="str">
        <f>IF(Q59="","",Q59*'Elementos Base'!N$13)</f>
        <v/>
      </c>
      <c r="R61" s="25" t="str">
        <f>IF(R59="","",R59*'Elementos Base'!O$13)</f>
        <v/>
      </c>
      <c r="S61" s="25" t="str">
        <f>IF(S59="","",S59*'Elementos Base'!P$13)</f>
        <v/>
      </c>
      <c r="T61" s="25" t="str">
        <f>IF(T59="","",T59*'Elementos Base'!Q$13)</f>
        <v/>
      </c>
      <c r="U61" s="25" t="str">
        <f>IF(U59="","",U59*'Elementos Base'!R$13)</f>
        <v/>
      </c>
      <c r="V61" s="25" t="str">
        <f>IF(V59="","",V59*'Elementos Base'!S$13)</f>
        <v/>
      </c>
      <c r="W61" s="25" t="str">
        <f>IF(W59="","",W59*'Elementos Base'!T$13)</f>
        <v/>
      </c>
      <c r="X61" s="25" t="str">
        <f>IF(X59="","",X59*'Elementos Base'!U$13)</f>
        <v/>
      </c>
      <c r="Y61" s="25" t="str">
        <f>IF(Y59="","",Y59*'Elementos Base'!V$13)</f>
        <v/>
      </c>
      <c r="Z61" s="25" t="str">
        <f>IF(Z59="","",Z59*'Elementos Base'!W$13)</f>
        <v/>
      </c>
      <c r="AA61" s="25" t="str">
        <f>IF(AA59="","",AA59*'Elementos Base'!X$13)</f>
        <v/>
      </c>
      <c r="AB61" s="25" t="str">
        <f>IF(AB59="","",AB59*'Elementos Base'!Y$13)</f>
        <v/>
      </c>
      <c r="AC61" s="25" t="str">
        <f>IF(AC59="","",AC59*'Elementos Base'!Z$13)</f>
        <v/>
      </c>
      <c r="AD61" s="25" t="str">
        <f>IF(AD59="","",AD59*'Elementos Base'!AA$13)</f>
        <v/>
      </c>
      <c r="AE61" s="25" t="str">
        <f>IF(AE59="","",AE59*'Elementos Base'!AB$13)</f>
        <v/>
      </c>
      <c r="AF61" s="25" t="str">
        <f>IF(AF59="","",AF59*'Elementos Base'!AC$13)</f>
        <v/>
      </c>
      <c r="AG61" s="25" t="str">
        <f>IF(AG59="","",AG59*'Elementos Base'!AD$13)</f>
        <v/>
      </c>
      <c r="AH61" s="25" t="str">
        <f>IF(AH59="","",AH59*'Elementos Base'!AE$13)</f>
        <v/>
      </c>
      <c r="AI61" s="25" t="str">
        <f>IF(AI59="","",AI59*'Elementos Base'!AF$13)</f>
        <v/>
      </c>
      <c r="AJ61" s="96"/>
      <c r="AK61" s="26">
        <f t="shared" si="25"/>
        <v>0</v>
      </c>
      <c r="AL61" s="58">
        <f>AK61</f>
        <v>0</v>
      </c>
      <c r="AM61" s="26">
        <f>AL61*Ajustes!$H$25</f>
        <v>0</v>
      </c>
      <c r="AN61" s="30"/>
    </row>
    <row r="62" spans="2:40">
      <c r="B62" s="28"/>
      <c r="C62" s="28"/>
      <c r="D62" s="29"/>
      <c r="E62" s="97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2"/>
      <c r="AK62" s="32"/>
      <c r="AL62" s="32"/>
      <c r="AM62" s="32"/>
      <c r="AN62" s="29"/>
    </row>
    <row r="63" spans="2:40">
      <c r="B63" s="28"/>
      <c r="C63" s="28"/>
      <c r="D63" s="29"/>
      <c r="E63" s="97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2"/>
      <c r="AK63" s="32"/>
      <c r="AL63" s="32"/>
      <c r="AM63" s="32"/>
      <c r="AN63" s="29"/>
    </row>
    <row r="64" spans="2:40">
      <c r="F64" s="27"/>
    </row>
    <row r="65" spans="2:6">
      <c r="F65" s="27"/>
    </row>
    <row r="66" spans="2:6">
      <c r="B66" s="2" t="s">
        <v>61</v>
      </c>
    </row>
    <row r="67" spans="2:6">
      <c r="F67" s="27"/>
    </row>
    <row r="68" spans="2:6">
      <c r="F68" s="27"/>
    </row>
    <row r="69" spans="2:6">
      <c r="F69" s="27"/>
    </row>
    <row r="72" spans="2:6">
      <c r="D72" s="12"/>
    </row>
    <row r="73" spans="2:6">
      <c r="D73" s="12"/>
    </row>
    <row r="75" spans="2:6">
      <c r="D75" s="12"/>
      <c r="F75" s="27"/>
    </row>
    <row r="76" spans="2:6">
      <c r="D76" s="12"/>
      <c r="F76" s="27"/>
    </row>
    <row r="77" spans="2:6">
      <c r="D77" s="12"/>
      <c r="F77" s="27"/>
    </row>
    <row r="78" spans="2:6">
      <c r="D78" s="12"/>
    </row>
  </sheetData>
  <sheetProtection sheet="1" objects="1" scenarios="1"/>
  <mergeCells count="20">
    <mergeCell ref="F7:K7"/>
    <mergeCell ref="L7:Q7"/>
    <mergeCell ref="R7:W7"/>
    <mergeCell ref="X7:AC7"/>
    <mergeCell ref="AD7:AI7"/>
    <mergeCell ref="F6:K6"/>
    <mergeCell ref="L6:Q6"/>
    <mergeCell ref="R6:W6"/>
    <mergeCell ref="X6:AC6"/>
    <mergeCell ref="AD6:AI6"/>
    <mergeCell ref="F16:K16"/>
    <mergeCell ref="L16:Q16"/>
    <mergeCell ref="R16:W16"/>
    <mergeCell ref="X16:AC16"/>
    <mergeCell ref="AD16:AI16"/>
    <mergeCell ref="F15:K15"/>
    <mergeCell ref="L15:Q15"/>
    <mergeCell ref="R15:W15"/>
    <mergeCell ref="X15:AC15"/>
    <mergeCell ref="AD15:AI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I45"/>
  <sheetViews>
    <sheetView showGridLines="0" zoomScaleNormal="100" workbookViewId="0"/>
  </sheetViews>
  <sheetFormatPr defaultColWidth="10.85546875" defaultRowHeight="14.25"/>
  <cols>
    <col min="1" max="1" width="3.28515625" style="2" customWidth="1"/>
    <col min="2" max="2" width="29.85546875" style="2" customWidth="1"/>
    <col min="3" max="3" width="67.42578125" style="2" customWidth="1"/>
    <col min="4" max="4" width="15.5703125" style="2" customWidth="1"/>
    <col min="5" max="5" width="10.85546875" style="2"/>
    <col min="6" max="7" width="17.42578125" style="2" customWidth="1"/>
    <col min="8" max="16384" width="10.85546875" style="2"/>
  </cols>
  <sheetData>
    <row r="3" spans="2:9" ht="26.25">
      <c r="C3" s="86" t="s">
        <v>62</v>
      </c>
    </row>
    <row r="6" spans="2:9" ht="48.6" customHeight="1" thickBot="1">
      <c r="B6" s="76" t="s">
        <v>63</v>
      </c>
      <c r="C6" s="77" t="s">
        <v>3</v>
      </c>
      <c r="D6" s="77" t="s">
        <v>64</v>
      </c>
      <c r="E6" s="77" t="s">
        <v>65</v>
      </c>
      <c r="F6" s="77" t="s">
        <v>66</v>
      </c>
      <c r="G6" s="77" t="s">
        <v>67</v>
      </c>
      <c r="H6" s="78" t="s">
        <v>68</v>
      </c>
    </row>
    <row r="7" spans="2:9" ht="15" thickBot="1">
      <c r="B7" s="170" t="s">
        <v>69</v>
      </c>
      <c r="C7" s="178" t="s">
        <v>70</v>
      </c>
      <c r="D7" s="3" t="s">
        <v>71</v>
      </c>
      <c r="E7" s="65">
        <v>1.47</v>
      </c>
      <c r="F7" s="4" t="s">
        <v>72</v>
      </c>
      <c r="G7" s="70">
        <f>VLOOKUP(F7,D7:E11,2,FALSE)</f>
        <v>1</v>
      </c>
      <c r="H7" s="64">
        <f>G7</f>
        <v>1</v>
      </c>
    </row>
    <row r="8" spans="2:9">
      <c r="B8" s="171"/>
      <c r="C8" s="171"/>
      <c r="D8" s="5" t="s">
        <v>73</v>
      </c>
      <c r="E8" s="6">
        <f>(E7+E9)/2</f>
        <v>1.2349999999999999</v>
      </c>
      <c r="F8" s="7"/>
    </row>
    <row r="9" spans="2:9">
      <c r="B9" s="171"/>
      <c r="C9" s="171"/>
      <c r="D9" s="5" t="s">
        <v>72</v>
      </c>
      <c r="E9" s="100">
        <v>1</v>
      </c>
    </row>
    <row r="10" spans="2:9">
      <c r="B10" s="171"/>
      <c r="C10" s="171"/>
      <c r="D10" s="5" t="s">
        <v>74</v>
      </c>
      <c r="E10" s="8">
        <f>(E9+E11)/2</f>
        <v>0.83499999999999996</v>
      </c>
      <c r="F10" s="9"/>
    </row>
    <row r="11" spans="2:9" ht="15" thickBot="1">
      <c r="B11" s="172"/>
      <c r="C11" s="172"/>
      <c r="D11" s="10" t="s">
        <v>75</v>
      </c>
      <c r="E11" s="66">
        <v>0.67</v>
      </c>
      <c r="F11" s="11"/>
    </row>
    <row r="12" spans="2:9" ht="15" thickBot="1">
      <c r="B12" s="170" t="s">
        <v>76</v>
      </c>
      <c r="C12" s="178" t="s">
        <v>77</v>
      </c>
      <c r="D12" s="3" t="s">
        <v>71</v>
      </c>
      <c r="E12" s="65">
        <f>109%*109%</f>
        <v>1.1881000000000002</v>
      </c>
      <c r="F12" s="4" t="s">
        <v>72</v>
      </c>
      <c r="G12" s="80">
        <f>VLOOKUP(F12,D12:E14,2,FALSE)</f>
        <v>1</v>
      </c>
      <c r="H12" s="64">
        <f>G12</f>
        <v>1</v>
      </c>
    </row>
    <row r="13" spans="2:9">
      <c r="B13" s="171"/>
      <c r="C13" s="171"/>
      <c r="D13" s="5" t="s">
        <v>73</v>
      </c>
      <c r="E13" s="6">
        <f>(E12+E14)/2</f>
        <v>1.0940500000000002</v>
      </c>
      <c r="F13" s="7"/>
    </row>
    <row r="14" spans="2:9" ht="15" thickBot="1">
      <c r="B14" s="172"/>
      <c r="C14" s="172"/>
      <c r="D14" s="5" t="s">
        <v>72</v>
      </c>
      <c r="E14" s="101">
        <v>1</v>
      </c>
      <c r="F14" s="12"/>
    </row>
    <row r="15" spans="2:9" ht="15" thickBot="1">
      <c r="B15" s="170" t="s">
        <v>78</v>
      </c>
      <c r="C15" s="178" t="s">
        <v>79</v>
      </c>
      <c r="D15" s="3" t="s">
        <v>72</v>
      </c>
      <c r="E15" s="100">
        <v>1</v>
      </c>
      <c r="F15" s="4" t="s">
        <v>72</v>
      </c>
      <c r="G15" s="80">
        <f>VLOOKUP(F15,D15:E17,2,FALSE)</f>
        <v>1</v>
      </c>
      <c r="H15" s="64">
        <f>G15</f>
        <v>1</v>
      </c>
      <c r="I15" s="2" t="s">
        <v>80</v>
      </c>
    </row>
    <row r="16" spans="2:9">
      <c r="B16" s="171"/>
      <c r="C16" s="171"/>
      <c r="D16" s="5" t="s">
        <v>81</v>
      </c>
      <c r="E16" s="8">
        <v>1.08</v>
      </c>
      <c r="F16" s="13"/>
      <c r="I16" s="2" t="s">
        <v>82</v>
      </c>
    </row>
    <row r="17" spans="2:9" ht="15" thickBot="1">
      <c r="B17" s="171"/>
      <c r="C17" s="172"/>
      <c r="D17" s="10" t="s">
        <v>83</v>
      </c>
      <c r="E17" s="66">
        <v>1.23</v>
      </c>
      <c r="F17" s="11"/>
      <c r="I17" s="2" t="s">
        <v>84</v>
      </c>
    </row>
    <row r="18" spans="2:9" ht="15" thickBot="1">
      <c r="B18" s="171"/>
      <c r="C18" s="178" t="s">
        <v>85</v>
      </c>
      <c r="D18" s="3" t="s">
        <v>86</v>
      </c>
      <c r="E18" s="100">
        <v>1</v>
      </c>
      <c r="F18" s="4" t="s">
        <v>86</v>
      </c>
      <c r="G18" s="80">
        <f>VLOOKUP(F18,D18:E19,2,FALSE)</f>
        <v>1</v>
      </c>
      <c r="H18" s="64">
        <f>G18</f>
        <v>1</v>
      </c>
    </row>
    <row r="19" spans="2:9" ht="15" thickBot="1">
      <c r="B19" s="172"/>
      <c r="C19" s="172"/>
      <c r="D19" s="10" t="s">
        <v>87</v>
      </c>
      <c r="E19" s="67">
        <f>1+9%</f>
        <v>1.0900000000000001</v>
      </c>
      <c r="F19" s="13"/>
    </row>
    <row r="20" spans="2:9" ht="15" thickBot="1">
      <c r="B20" s="170" t="s">
        <v>88</v>
      </c>
      <c r="C20" s="173" t="s">
        <v>89</v>
      </c>
      <c r="D20" s="3" t="s">
        <v>74</v>
      </c>
      <c r="E20" s="157">
        <v>1.5</v>
      </c>
      <c r="F20" s="4" t="s">
        <v>90</v>
      </c>
      <c r="G20" s="80">
        <f>VLOOKUP(F20,D20:E24,2,FALSE)</f>
        <v>1.1499999999999999</v>
      </c>
      <c r="H20" s="64">
        <f>G20</f>
        <v>1.1499999999999999</v>
      </c>
    </row>
    <row r="21" spans="2:9">
      <c r="B21" s="171"/>
      <c r="C21" s="174"/>
      <c r="D21" s="5" t="s">
        <v>90</v>
      </c>
      <c r="E21" s="158">
        <v>1.1499999999999999</v>
      </c>
    </row>
    <row r="22" spans="2:9">
      <c r="B22" s="171"/>
      <c r="C22" s="174"/>
      <c r="D22" s="5" t="s">
        <v>73</v>
      </c>
      <c r="E22" s="158">
        <v>1.1000000000000001</v>
      </c>
      <c r="F22" s="12"/>
    </row>
    <row r="23" spans="2:9">
      <c r="B23" s="171"/>
      <c r="C23" s="174"/>
      <c r="D23" s="5" t="s">
        <v>71</v>
      </c>
      <c r="E23" s="158">
        <v>1.05</v>
      </c>
    </row>
    <row r="24" spans="2:9" ht="15" thickBot="1">
      <c r="B24" s="172"/>
      <c r="C24" s="174"/>
      <c r="D24" s="5" t="s">
        <v>91</v>
      </c>
      <c r="E24" s="100">
        <v>1</v>
      </c>
    </row>
    <row r="25" spans="2:9" ht="18.75" thickBot="1">
      <c r="C25" s="175" t="s">
        <v>92</v>
      </c>
      <c r="D25" s="176"/>
      <c r="E25" s="176"/>
      <c r="F25" s="177"/>
      <c r="G25" s="81">
        <f>G7*G12*G15*G18*G20</f>
        <v>1.1499999999999999</v>
      </c>
      <c r="H25" s="14">
        <f>H7*H12*H15*H18*H20</f>
        <v>1.1499999999999999</v>
      </c>
    </row>
    <row r="26" spans="2:9">
      <c r="B26" s="15" t="s">
        <v>93</v>
      </c>
    </row>
    <row r="27" spans="2:9">
      <c r="B27" s="16" t="s">
        <v>94</v>
      </c>
    </row>
    <row r="28" spans="2:9">
      <c r="B28" s="16" t="s">
        <v>95</v>
      </c>
    </row>
    <row r="29" spans="2:9">
      <c r="B29" s="16" t="s">
        <v>96</v>
      </c>
    </row>
    <row r="30" spans="2:9">
      <c r="B30" s="16" t="s">
        <v>97</v>
      </c>
    </row>
    <row r="31" spans="2:9">
      <c r="B31" s="16" t="s">
        <v>98</v>
      </c>
    </row>
    <row r="32" spans="2:9">
      <c r="B32" s="16" t="s">
        <v>99</v>
      </c>
    </row>
    <row r="33" spans="2:3">
      <c r="B33" s="16"/>
    </row>
    <row r="44" spans="2:3">
      <c r="B44" s="12"/>
      <c r="C44" s="12"/>
    </row>
    <row r="45" spans="2:3">
      <c r="B45" s="12"/>
      <c r="C45" s="12"/>
    </row>
  </sheetData>
  <sheetProtection sheet="1" objects="1" scenarios="1"/>
  <mergeCells count="10">
    <mergeCell ref="B20:B24"/>
    <mergeCell ref="C20:C24"/>
    <mergeCell ref="C25:F25"/>
    <mergeCell ref="B7:B11"/>
    <mergeCell ref="C7:C11"/>
    <mergeCell ref="B12:B14"/>
    <mergeCell ref="C12:C14"/>
    <mergeCell ref="B15:B19"/>
    <mergeCell ref="C15:C17"/>
    <mergeCell ref="C18:C19"/>
  </mergeCells>
  <dataValidations disablePrompts="1" count="5">
    <dataValidation type="list" allowBlank="1" showInputMessage="1" showErrorMessage="1" sqref="F20" xr:uid="{00000000-0002-0000-0200-000000000000}">
      <formula1>$D$20:$D$24</formula1>
    </dataValidation>
    <dataValidation type="list" allowBlank="1" showInputMessage="1" showErrorMessage="1" sqref="F18" xr:uid="{00000000-0002-0000-0200-000001000000}">
      <formula1>$D$18:$D$19</formula1>
    </dataValidation>
    <dataValidation type="list" allowBlank="1" showInputMessage="1" showErrorMessage="1" sqref="F15" xr:uid="{00000000-0002-0000-0200-000002000000}">
      <formula1>$D$15:$D$17</formula1>
    </dataValidation>
    <dataValidation type="list" allowBlank="1" showInputMessage="1" showErrorMessage="1" sqref="F12" xr:uid="{00000000-0002-0000-0200-000003000000}">
      <formula1>$D$12:$D$14</formula1>
    </dataValidation>
    <dataValidation type="list" allowBlank="1" showInputMessage="1" showErrorMessage="1" sqref="F7" xr:uid="{00000000-0002-0000-0200-000004000000}">
      <formula1>$D$7:$D$11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-0.499984740745262"/>
  </sheetPr>
  <dimension ref="B3:H40"/>
  <sheetViews>
    <sheetView showGridLines="0" tabSelected="1" zoomScaleNormal="100" workbookViewId="0">
      <selection activeCell="D29" sqref="D29"/>
    </sheetView>
  </sheetViews>
  <sheetFormatPr defaultColWidth="10.85546875" defaultRowHeight="14.25"/>
  <cols>
    <col min="1" max="1" width="6.85546875" style="2" customWidth="1"/>
    <col min="2" max="2" width="40.7109375" style="2" customWidth="1"/>
    <col min="3" max="3" width="15.5703125" style="2" bestFit="1" customWidth="1"/>
    <col min="4" max="4" width="17.5703125" style="2" customWidth="1"/>
    <col min="5" max="5" width="15.42578125" style="2" bestFit="1" customWidth="1"/>
    <col min="6" max="7" width="13.140625" style="2" customWidth="1"/>
    <col min="8" max="8" width="13.28515625" style="2" customWidth="1"/>
    <col min="9" max="9" width="12.85546875" style="2" customWidth="1"/>
    <col min="10" max="16384" width="10.85546875" style="2"/>
  </cols>
  <sheetData>
    <row r="3" spans="2:7" ht="26.25">
      <c r="C3" s="86" t="s">
        <v>100</v>
      </c>
    </row>
    <row r="5" spans="2:7" hidden="1"/>
    <row r="6" spans="2:7">
      <c r="B6" s="2" t="s">
        <v>101</v>
      </c>
    </row>
    <row r="8" spans="2:7">
      <c r="C8" s="179" t="s">
        <v>102</v>
      </c>
      <c r="D8" s="179"/>
      <c r="E8" s="180"/>
    </row>
    <row r="9" spans="2:7" ht="28.5">
      <c r="B9" s="59"/>
      <c r="C9" s="149" t="s">
        <v>103</v>
      </c>
      <c r="D9" s="149" t="s">
        <v>104</v>
      </c>
      <c r="E9" s="150" t="s">
        <v>105</v>
      </c>
    </row>
    <row r="10" spans="2:7">
      <c r="B10" s="60" t="s">
        <v>106</v>
      </c>
      <c r="C10" s="71">
        <v>0.08</v>
      </c>
      <c r="D10" s="72">
        <f>C10/C$13</f>
        <v>0.32</v>
      </c>
      <c r="E10" s="73">
        <f>E$13*D10</f>
        <v>0</v>
      </c>
    </row>
    <row r="11" spans="2:7">
      <c r="B11" s="60" t="s">
        <v>107</v>
      </c>
      <c r="C11" s="71">
        <v>0.12</v>
      </c>
      <c r="D11" s="72">
        <f t="shared" ref="D11:D19" si="0">C11/C$13</f>
        <v>0.48</v>
      </c>
      <c r="E11" s="73">
        <f t="shared" ref="E11:E19" si="1">E$13*D11</f>
        <v>0</v>
      </c>
    </row>
    <row r="12" spans="2:7">
      <c r="B12" s="60" t="s">
        <v>108</v>
      </c>
      <c r="C12" s="71">
        <v>0.14000000000000001</v>
      </c>
      <c r="D12" s="72">
        <f t="shared" si="0"/>
        <v>0.56000000000000005</v>
      </c>
      <c r="E12" s="73">
        <f t="shared" si="1"/>
        <v>0</v>
      </c>
    </row>
    <row r="13" spans="2:7">
      <c r="B13" s="60" t="s">
        <v>109</v>
      </c>
      <c r="C13" s="71">
        <v>0.25</v>
      </c>
      <c r="D13" s="72">
        <f>C13/C$13</f>
        <v>1</v>
      </c>
      <c r="E13" s="74">
        <f>Tamaño!AM13</f>
        <v>0</v>
      </c>
      <c r="G13" s="11"/>
    </row>
    <row r="14" spans="2:7">
      <c r="B14" s="60" t="s">
        <v>110</v>
      </c>
      <c r="C14" s="71">
        <v>0.16</v>
      </c>
      <c r="D14" s="72">
        <f t="shared" si="0"/>
        <v>0.64</v>
      </c>
      <c r="E14" s="73">
        <f t="shared" si="1"/>
        <v>0</v>
      </c>
      <c r="G14" s="11"/>
    </row>
    <row r="15" spans="2:7">
      <c r="B15" s="60" t="s">
        <v>111</v>
      </c>
      <c r="C15" s="71">
        <v>0.05</v>
      </c>
      <c r="D15" s="72">
        <f t="shared" si="0"/>
        <v>0.2</v>
      </c>
      <c r="E15" s="73">
        <f t="shared" si="1"/>
        <v>0</v>
      </c>
    </row>
    <row r="16" spans="2:7">
      <c r="B16" s="60" t="s">
        <v>112</v>
      </c>
      <c r="C16" s="71">
        <v>0.05</v>
      </c>
      <c r="D16" s="72">
        <f t="shared" si="0"/>
        <v>0.2</v>
      </c>
      <c r="E16" s="73">
        <f t="shared" si="1"/>
        <v>0</v>
      </c>
    </row>
    <row r="17" spans="2:8">
      <c r="B17" s="60" t="s">
        <v>113</v>
      </c>
      <c r="C17" s="71">
        <v>0.05</v>
      </c>
      <c r="D17" s="72">
        <f t="shared" si="0"/>
        <v>0.2</v>
      </c>
      <c r="E17" s="73">
        <f t="shared" si="1"/>
        <v>0</v>
      </c>
    </row>
    <row r="18" spans="2:8">
      <c r="B18" s="60" t="s">
        <v>114</v>
      </c>
      <c r="C18" s="71">
        <v>0.05</v>
      </c>
      <c r="D18" s="72">
        <f t="shared" si="0"/>
        <v>0.2</v>
      </c>
      <c r="E18" s="73">
        <f t="shared" si="1"/>
        <v>0</v>
      </c>
    </row>
    <row r="19" spans="2:8">
      <c r="B19" s="60" t="s">
        <v>115</v>
      </c>
      <c r="C19" s="71">
        <v>0.05</v>
      </c>
      <c r="D19" s="72">
        <f t="shared" si="0"/>
        <v>0.2</v>
      </c>
      <c r="E19" s="73">
        <f t="shared" si="1"/>
        <v>0</v>
      </c>
    </row>
    <row r="20" spans="2:8">
      <c r="B20" s="60" t="s">
        <v>116</v>
      </c>
      <c r="C20" s="71">
        <f>SUM(C10:C19)</f>
        <v>1.0000000000000002</v>
      </c>
      <c r="D20" s="72">
        <f>SUM(D10:D19)</f>
        <v>4.0000000000000009</v>
      </c>
      <c r="E20" s="75">
        <f>SUM(E10:E19)</f>
        <v>0</v>
      </c>
    </row>
    <row r="23" spans="2:8">
      <c r="C23" s="179" t="s">
        <v>117</v>
      </c>
      <c r="D23" s="179"/>
      <c r="E23" s="180"/>
    </row>
    <row r="24" spans="2:8" ht="28.5">
      <c r="C24" s="149" t="s">
        <v>103</v>
      </c>
      <c r="D24" s="149" t="s">
        <v>104</v>
      </c>
      <c r="E24" s="150" t="s">
        <v>105</v>
      </c>
    </row>
    <row r="25" spans="2:8">
      <c r="B25" s="60" t="s">
        <v>106</v>
      </c>
      <c r="C25" s="71">
        <v>0.04</v>
      </c>
      <c r="D25" s="72">
        <f>$C25/$C$28</f>
        <v>0.16</v>
      </c>
      <c r="E25" s="73">
        <f>E$28*D25</f>
        <v>0</v>
      </c>
    </row>
    <row r="26" spans="2:8">
      <c r="B26" s="60" t="s">
        <v>107</v>
      </c>
      <c r="C26" s="71">
        <v>0.04</v>
      </c>
      <c r="D26" s="72">
        <f t="shared" ref="D26:D34" si="2">$C26/$C$28</f>
        <v>0.16</v>
      </c>
      <c r="E26" s="73">
        <f t="shared" ref="E26:E34" si="3">E$28*D26</f>
        <v>0</v>
      </c>
    </row>
    <row r="27" spans="2:8">
      <c r="B27" s="60" t="s">
        <v>108</v>
      </c>
      <c r="C27" s="71">
        <v>0.1</v>
      </c>
      <c r="D27" s="72">
        <f t="shared" si="2"/>
        <v>0.4</v>
      </c>
      <c r="E27" s="73">
        <f t="shared" si="3"/>
        <v>0</v>
      </c>
    </row>
    <row r="28" spans="2:8">
      <c r="B28" s="60" t="s">
        <v>109</v>
      </c>
      <c r="C28" s="71">
        <v>0.25</v>
      </c>
      <c r="D28" s="72">
        <f t="shared" si="2"/>
        <v>1</v>
      </c>
      <c r="E28" s="74">
        <f>E13</f>
        <v>0</v>
      </c>
      <c r="G28" s="152"/>
      <c r="H28" s="152"/>
    </row>
    <row r="29" spans="2:8">
      <c r="B29" s="60" t="s">
        <v>110</v>
      </c>
      <c r="C29" s="71">
        <v>0</v>
      </c>
      <c r="D29" s="72">
        <f t="shared" si="2"/>
        <v>0</v>
      </c>
      <c r="E29" s="73">
        <f t="shared" si="3"/>
        <v>0</v>
      </c>
    </row>
    <row r="30" spans="2:8">
      <c r="B30" s="60" t="s">
        <v>111</v>
      </c>
      <c r="C30" s="71">
        <v>0</v>
      </c>
      <c r="D30" s="72">
        <f t="shared" si="2"/>
        <v>0</v>
      </c>
      <c r="E30" s="73">
        <f t="shared" si="3"/>
        <v>0</v>
      </c>
    </row>
    <row r="31" spans="2:8">
      <c r="B31" s="60" t="s">
        <v>112</v>
      </c>
      <c r="C31" s="71">
        <v>0</v>
      </c>
      <c r="D31" s="72">
        <f t="shared" si="2"/>
        <v>0</v>
      </c>
      <c r="E31" s="73">
        <f t="shared" si="3"/>
        <v>0</v>
      </c>
    </row>
    <row r="32" spans="2:8">
      <c r="B32" s="60" t="s">
        <v>113</v>
      </c>
      <c r="C32" s="71">
        <v>0.05</v>
      </c>
      <c r="D32" s="72">
        <f t="shared" si="2"/>
        <v>0.2</v>
      </c>
      <c r="E32" s="73">
        <f t="shared" si="3"/>
        <v>0</v>
      </c>
    </row>
    <row r="33" spans="2:5">
      <c r="B33" s="60" t="s">
        <v>114</v>
      </c>
      <c r="C33" s="71">
        <v>0</v>
      </c>
      <c r="D33" s="72">
        <f t="shared" si="2"/>
        <v>0</v>
      </c>
      <c r="E33" s="73">
        <f t="shared" si="3"/>
        <v>0</v>
      </c>
    </row>
    <row r="34" spans="2:5">
      <c r="B34" s="60" t="s">
        <v>115</v>
      </c>
      <c r="C34" s="71">
        <v>0.05</v>
      </c>
      <c r="D34" s="72">
        <f t="shared" si="2"/>
        <v>0.2</v>
      </c>
      <c r="E34" s="73">
        <f t="shared" si="3"/>
        <v>0</v>
      </c>
    </row>
    <row r="35" spans="2:5">
      <c r="B35" s="60" t="s">
        <v>116</v>
      </c>
      <c r="C35" s="71">
        <f>SUM(C25:C34)</f>
        <v>0.53</v>
      </c>
      <c r="D35" s="72">
        <f>SUM(D25:D34)</f>
        <v>2.12</v>
      </c>
      <c r="E35" s="75">
        <f>SUM(E25:E34)</f>
        <v>0</v>
      </c>
    </row>
    <row r="38" spans="2:5" ht="15">
      <c r="B38" s="181" t="s">
        <v>118</v>
      </c>
      <c r="C38" s="181"/>
      <c r="D38"/>
    </row>
    <row r="39" spans="2:5">
      <c r="B39" s="28" t="s">
        <v>119</v>
      </c>
      <c r="C39" s="156">
        <f>ROUND(SUM($E$25,$E$26,$E$28:$E$34)*8,0)</f>
        <v>0</v>
      </c>
      <c r="D39" s="152"/>
    </row>
    <row r="40" spans="2:5">
      <c r="B40" s="28" t="s">
        <v>120</v>
      </c>
      <c r="C40" s="156">
        <f>ROUND(E35*8,0)</f>
        <v>0</v>
      </c>
    </row>
  </sheetData>
  <sheetProtection sheet="1" objects="1" scenarios="1"/>
  <mergeCells count="3">
    <mergeCell ref="C8:E8"/>
    <mergeCell ref="C23:E23"/>
    <mergeCell ref="B38:C38"/>
  </mergeCells>
  <pageMargins left="0.7" right="0.7" top="0.75" bottom="0.75" header="0.3" footer="0.3"/>
  <pageSetup paperSize="9" orientation="portrait" r:id="rId1"/>
  <ignoredErrors>
    <ignoredError sqref="E13 E28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S34"/>
  <sheetViews>
    <sheetView showGridLines="0" zoomScaleNormal="100" workbookViewId="0"/>
  </sheetViews>
  <sheetFormatPr defaultColWidth="10.85546875" defaultRowHeight="14.25"/>
  <cols>
    <col min="1" max="1" width="5.140625" style="2" customWidth="1"/>
    <col min="2" max="2" width="32.140625" style="2" customWidth="1"/>
    <col min="3" max="13" width="20.7109375" style="2" customWidth="1"/>
    <col min="14" max="16384" width="10.85546875" style="2"/>
  </cols>
  <sheetData>
    <row r="3" spans="2:12" ht="26.25">
      <c r="D3" s="86" t="s">
        <v>121</v>
      </c>
    </row>
    <row r="7" spans="2:12" ht="43.5" customHeight="1">
      <c r="B7" s="84" t="s">
        <v>122</v>
      </c>
      <c r="C7" s="149" t="s">
        <v>106</v>
      </c>
      <c r="D7" s="149" t="s">
        <v>107</v>
      </c>
      <c r="E7" s="149" t="s">
        <v>108</v>
      </c>
      <c r="F7" s="149" t="s">
        <v>109</v>
      </c>
      <c r="G7" s="149" t="s">
        <v>110</v>
      </c>
      <c r="H7" s="149" t="s">
        <v>111</v>
      </c>
      <c r="I7" s="149" t="s">
        <v>112</v>
      </c>
      <c r="J7" s="149" t="s">
        <v>113</v>
      </c>
      <c r="K7" s="149" t="s">
        <v>114</v>
      </c>
      <c r="L7" s="149" t="s">
        <v>115</v>
      </c>
    </row>
    <row r="8" spans="2:12">
      <c r="B8" s="60" t="s">
        <v>123</v>
      </c>
      <c r="C8" s="61">
        <v>0.8</v>
      </c>
      <c r="D8" s="61">
        <v>0.1</v>
      </c>
      <c r="E8" s="61">
        <v>0</v>
      </c>
      <c r="F8" s="61">
        <v>0</v>
      </c>
      <c r="G8" s="61">
        <v>0</v>
      </c>
      <c r="H8" s="61">
        <v>0</v>
      </c>
      <c r="I8" s="61">
        <v>0.1</v>
      </c>
      <c r="J8" s="61">
        <v>0.2</v>
      </c>
      <c r="K8" s="61">
        <v>0.8</v>
      </c>
      <c r="L8" s="61">
        <v>0</v>
      </c>
    </row>
    <row r="9" spans="2:12">
      <c r="B9" s="60" t="s">
        <v>124</v>
      </c>
      <c r="C9" s="61">
        <v>0.2</v>
      </c>
      <c r="D9" s="61">
        <v>0.1</v>
      </c>
      <c r="E9" s="61">
        <v>0.1</v>
      </c>
      <c r="F9" s="61">
        <v>0</v>
      </c>
      <c r="G9" s="61">
        <v>0</v>
      </c>
      <c r="H9" s="61">
        <v>0</v>
      </c>
      <c r="I9" s="61">
        <v>0.1</v>
      </c>
      <c r="J9" s="61">
        <v>0.2</v>
      </c>
      <c r="K9" s="61">
        <v>0.2</v>
      </c>
      <c r="L9" s="61">
        <v>0</v>
      </c>
    </row>
    <row r="10" spans="2:12">
      <c r="B10" s="60" t="s">
        <v>125</v>
      </c>
      <c r="C10" s="61">
        <v>0</v>
      </c>
      <c r="D10" s="61">
        <v>0.5</v>
      </c>
      <c r="E10" s="61">
        <v>0.3</v>
      </c>
      <c r="F10" s="61">
        <v>0.1</v>
      </c>
      <c r="G10" s="61">
        <v>0</v>
      </c>
      <c r="H10" s="61">
        <v>0</v>
      </c>
      <c r="I10" s="61">
        <v>0.6</v>
      </c>
      <c r="J10" s="61">
        <v>0.2</v>
      </c>
      <c r="K10" s="61">
        <v>0</v>
      </c>
      <c r="L10" s="61">
        <v>0</v>
      </c>
    </row>
    <row r="11" spans="2:12">
      <c r="B11" s="60" t="s">
        <v>126</v>
      </c>
      <c r="C11" s="61">
        <v>0</v>
      </c>
      <c r="D11" s="61">
        <v>0.2</v>
      </c>
      <c r="E11" s="61">
        <v>0.4</v>
      </c>
      <c r="F11" s="61">
        <v>0.2</v>
      </c>
      <c r="G11" s="61">
        <v>0</v>
      </c>
      <c r="H11" s="61">
        <v>0</v>
      </c>
      <c r="I11" s="61">
        <v>0.2</v>
      </c>
      <c r="J11" s="61">
        <v>0</v>
      </c>
      <c r="K11" s="61">
        <v>0</v>
      </c>
      <c r="L11" s="61">
        <v>0</v>
      </c>
    </row>
    <row r="12" spans="2:12">
      <c r="B12" s="60" t="s">
        <v>127</v>
      </c>
      <c r="C12" s="61">
        <v>0</v>
      </c>
      <c r="D12" s="61">
        <v>0.1</v>
      </c>
      <c r="E12" s="61">
        <v>0.2</v>
      </c>
      <c r="F12" s="61">
        <v>0.2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0.5</v>
      </c>
    </row>
    <row r="13" spans="2:12">
      <c r="B13" s="60" t="s">
        <v>128</v>
      </c>
      <c r="C13" s="61">
        <v>0</v>
      </c>
      <c r="D13" s="61">
        <v>0</v>
      </c>
      <c r="E13" s="61">
        <v>0</v>
      </c>
      <c r="F13" s="61">
        <v>0</v>
      </c>
      <c r="G13" s="61">
        <v>0.3</v>
      </c>
      <c r="H13" s="61">
        <v>0</v>
      </c>
      <c r="I13" s="61">
        <v>0</v>
      </c>
      <c r="J13" s="61">
        <v>0.4</v>
      </c>
      <c r="K13" s="61">
        <v>0</v>
      </c>
      <c r="L13" s="61">
        <v>0</v>
      </c>
    </row>
    <row r="14" spans="2:12">
      <c r="B14" s="60" t="s">
        <v>129</v>
      </c>
      <c r="C14" s="61">
        <v>0</v>
      </c>
      <c r="D14" s="61">
        <v>0</v>
      </c>
      <c r="E14" s="61">
        <v>0</v>
      </c>
      <c r="F14" s="61">
        <v>0</v>
      </c>
      <c r="G14" s="61">
        <v>0.7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</row>
    <row r="15" spans="2:12">
      <c r="B15" s="60" t="s">
        <v>130</v>
      </c>
      <c r="C15" s="61">
        <v>0</v>
      </c>
      <c r="D15" s="61">
        <v>0</v>
      </c>
      <c r="E15" s="61">
        <v>0</v>
      </c>
      <c r="F15" s="61">
        <v>0.5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0.5</v>
      </c>
    </row>
    <row r="16" spans="2:12">
      <c r="B16" s="60" t="s">
        <v>131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1">
        <v>1</v>
      </c>
      <c r="I16" s="61">
        <v>0</v>
      </c>
      <c r="J16" s="61">
        <v>0</v>
      </c>
      <c r="K16" s="61">
        <v>0</v>
      </c>
      <c r="L16" s="61">
        <v>0</v>
      </c>
    </row>
    <row r="17" spans="2:13">
      <c r="B17" s="60" t="s">
        <v>132</v>
      </c>
      <c r="C17" s="61">
        <f>SUM(C8:C16)</f>
        <v>1</v>
      </c>
      <c r="D17" s="61">
        <f t="shared" ref="D17:H17" si="0">SUM(D8:D16)</f>
        <v>0.99999999999999989</v>
      </c>
      <c r="E17" s="61">
        <f t="shared" si="0"/>
        <v>1</v>
      </c>
      <c r="F17" s="61">
        <f t="shared" si="0"/>
        <v>1</v>
      </c>
      <c r="G17" s="61">
        <f t="shared" si="0"/>
        <v>1</v>
      </c>
      <c r="H17" s="61">
        <f t="shared" si="0"/>
        <v>1</v>
      </c>
      <c r="I17" s="61">
        <f>SUM(I8:I16)</f>
        <v>1</v>
      </c>
      <c r="J17" s="61">
        <f t="shared" ref="J17" si="1">SUM(J8:J16)</f>
        <v>1</v>
      </c>
      <c r="K17" s="61">
        <f t="shared" ref="K17" si="2">SUM(K8:K16)</f>
        <v>1</v>
      </c>
      <c r="L17" s="61">
        <f t="shared" ref="L17" si="3">SUM(L8:L16)</f>
        <v>1</v>
      </c>
    </row>
    <row r="18" spans="2:13" ht="7.5" customHeight="1"/>
    <row r="20" spans="2:13" ht="42.95" customHeight="1">
      <c r="B20" s="84" t="s">
        <v>133</v>
      </c>
      <c r="C20" s="149" t="s">
        <v>106</v>
      </c>
      <c r="D20" s="149" t="s">
        <v>107</v>
      </c>
      <c r="E20" s="149" t="s">
        <v>108</v>
      </c>
      <c r="F20" s="149" t="s">
        <v>109</v>
      </c>
      <c r="G20" s="149" t="s">
        <v>110</v>
      </c>
      <c r="H20" s="149" t="s">
        <v>111</v>
      </c>
      <c r="I20" s="149" t="s">
        <v>112</v>
      </c>
      <c r="J20" s="149" t="s">
        <v>113</v>
      </c>
      <c r="K20" s="149" t="s">
        <v>114</v>
      </c>
      <c r="L20" s="149" t="s">
        <v>115</v>
      </c>
      <c r="M20" s="149" t="s">
        <v>132</v>
      </c>
    </row>
    <row r="21" spans="2:13">
      <c r="B21" s="82" t="s">
        <v>105</v>
      </c>
      <c r="C21" s="153">
        <f>Etapas!E25</f>
        <v>0</v>
      </c>
      <c r="D21" s="153">
        <f>Etapas!E26</f>
        <v>0</v>
      </c>
      <c r="E21" s="153">
        <f>Etapas!E27</f>
        <v>0</v>
      </c>
      <c r="F21" s="153">
        <f>Etapas!E28</f>
        <v>0</v>
      </c>
      <c r="G21" s="153">
        <f>Etapas!E29</f>
        <v>0</v>
      </c>
      <c r="H21" s="153">
        <f>Etapas!E30</f>
        <v>0</v>
      </c>
      <c r="I21" s="153">
        <f>Etapas!E31</f>
        <v>0</v>
      </c>
      <c r="J21" s="153">
        <f>Etapas!E32</f>
        <v>0</v>
      </c>
      <c r="K21" s="153">
        <f>Etapas!E33</f>
        <v>0</v>
      </c>
      <c r="L21" s="153">
        <f>Etapas!E34</f>
        <v>0</v>
      </c>
      <c r="M21" s="153">
        <f>SUM(C21:L21)</f>
        <v>0</v>
      </c>
    </row>
    <row r="22" spans="2:13">
      <c r="B22" s="60" t="s">
        <v>123</v>
      </c>
      <c r="C22" s="62">
        <f t="shared" ref="C22:L22" si="4">C$21*C8</f>
        <v>0</v>
      </c>
      <c r="D22" s="62">
        <f t="shared" si="4"/>
        <v>0</v>
      </c>
      <c r="E22" s="62">
        <f t="shared" si="4"/>
        <v>0</v>
      </c>
      <c r="F22" s="62">
        <f t="shared" si="4"/>
        <v>0</v>
      </c>
      <c r="G22" s="62">
        <f t="shared" si="4"/>
        <v>0</v>
      </c>
      <c r="H22" s="62">
        <f t="shared" si="4"/>
        <v>0</v>
      </c>
      <c r="I22" s="62">
        <f t="shared" si="4"/>
        <v>0</v>
      </c>
      <c r="J22" s="62">
        <f t="shared" si="4"/>
        <v>0</v>
      </c>
      <c r="K22" s="62">
        <f t="shared" si="4"/>
        <v>0</v>
      </c>
      <c r="L22" s="62">
        <f t="shared" si="4"/>
        <v>0</v>
      </c>
      <c r="M22" s="83">
        <f>SUM(C22:L22)</f>
        <v>0</v>
      </c>
    </row>
    <row r="23" spans="2:13">
      <c r="B23" s="60" t="s">
        <v>124</v>
      </c>
      <c r="C23" s="62">
        <f t="shared" ref="C23:L23" si="5">C$21*C9</f>
        <v>0</v>
      </c>
      <c r="D23" s="62">
        <f t="shared" si="5"/>
        <v>0</v>
      </c>
      <c r="E23" s="62">
        <f t="shared" si="5"/>
        <v>0</v>
      </c>
      <c r="F23" s="62">
        <f t="shared" si="5"/>
        <v>0</v>
      </c>
      <c r="G23" s="62">
        <f t="shared" si="5"/>
        <v>0</v>
      </c>
      <c r="H23" s="62">
        <f t="shared" si="5"/>
        <v>0</v>
      </c>
      <c r="I23" s="62">
        <f t="shared" si="5"/>
        <v>0</v>
      </c>
      <c r="J23" s="62">
        <f t="shared" si="5"/>
        <v>0</v>
      </c>
      <c r="K23" s="62">
        <f t="shared" si="5"/>
        <v>0</v>
      </c>
      <c r="L23" s="62">
        <f t="shared" si="5"/>
        <v>0</v>
      </c>
      <c r="M23" s="83">
        <f t="shared" ref="M23:M30" si="6">SUM(C23:L23)</f>
        <v>0</v>
      </c>
    </row>
    <row r="24" spans="2:13">
      <c r="B24" s="60" t="s">
        <v>125</v>
      </c>
      <c r="C24" s="62">
        <f t="shared" ref="C24:L24" si="7">C$21*C10</f>
        <v>0</v>
      </c>
      <c r="D24" s="62">
        <f t="shared" si="7"/>
        <v>0</v>
      </c>
      <c r="E24" s="62">
        <f t="shared" si="7"/>
        <v>0</v>
      </c>
      <c r="F24" s="62">
        <f t="shared" si="7"/>
        <v>0</v>
      </c>
      <c r="G24" s="62">
        <f t="shared" si="7"/>
        <v>0</v>
      </c>
      <c r="H24" s="62">
        <f t="shared" si="7"/>
        <v>0</v>
      </c>
      <c r="I24" s="62">
        <f t="shared" si="7"/>
        <v>0</v>
      </c>
      <c r="J24" s="62">
        <f t="shared" si="7"/>
        <v>0</v>
      </c>
      <c r="K24" s="62">
        <f t="shared" si="7"/>
        <v>0</v>
      </c>
      <c r="L24" s="62">
        <f t="shared" si="7"/>
        <v>0</v>
      </c>
      <c r="M24" s="83">
        <f t="shared" si="6"/>
        <v>0</v>
      </c>
    </row>
    <row r="25" spans="2:13">
      <c r="B25" s="60" t="s">
        <v>126</v>
      </c>
      <c r="C25" s="62">
        <f t="shared" ref="C25:L25" si="8">C$21*C11</f>
        <v>0</v>
      </c>
      <c r="D25" s="62">
        <f t="shared" si="8"/>
        <v>0</v>
      </c>
      <c r="E25" s="62">
        <f t="shared" si="8"/>
        <v>0</v>
      </c>
      <c r="F25" s="62">
        <f t="shared" si="8"/>
        <v>0</v>
      </c>
      <c r="G25" s="62">
        <f t="shared" si="8"/>
        <v>0</v>
      </c>
      <c r="H25" s="62">
        <f t="shared" si="8"/>
        <v>0</v>
      </c>
      <c r="I25" s="62">
        <f t="shared" si="8"/>
        <v>0</v>
      </c>
      <c r="J25" s="62">
        <f t="shared" si="8"/>
        <v>0</v>
      </c>
      <c r="K25" s="62">
        <f t="shared" si="8"/>
        <v>0</v>
      </c>
      <c r="L25" s="62">
        <f t="shared" si="8"/>
        <v>0</v>
      </c>
      <c r="M25" s="83">
        <f t="shared" si="6"/>
        <v>0</v>
      </c>
    </row>
    <row r="26" spans="2:13">
      <c r="B26" s="60" t="s">
        <v>127</v>
      </c>
      <c r="C26" s="62">
        <f t="shared" ref="C26:L26" si="9">C$21*C12</f>
        <v>0</v>
      </c>
      <c r="D26" s="62">
        <f t="shared" si="9"/>
        <v>0</v>
      </c>
      <c r="E26" s="62">
        <f t="shared" si="9"/>
        <v>0</v>
      </c>
      <c r="F26" s="62">
        <f t="shared" si="9"/>
        <v>0</v>
      </c>
      <c r="G26" s="62">
        <f t="shared" si="9"/>
        <v>0</v>
      </c>
      <c r="H26" s="62">
        <f t="shared" si="9"/>
        <v>0</v>
      </c>
      <c r="I26" s="62">
        <f t="shared" si="9"/>
        <v>0</v>
      </c>
      <c r="J26" s="62">
        <f t="shared" si="9"/>
        <v>0</v>
      </c>
      <c r="K26" s="62">
        <f t="shared" si="9"/>
        <v>0</v>
      </c>
      <c r="L26" s="62">
        <f t="shared" si="9"/>
        <v>0</v>
      </c>
      <c r="M26" s="83">
        <f t="shared" si="6"/>
        <v>0</v>
      </c>
    </row>
    <row r="27" spans="2:13">
      <c r="B27" s="60" t="s">
        <v>128</v>
      </c>
      <c r="C27" s="62">
        <f t="shared" ref="C27:L27" si="10">C$21*C13</f>
        <v>0</v>
      </c>
      <c r="D27" s="62">
        <f t="shared" si="10"/>
        <v>0</v>
      </c>
      <c r="E27" s="62">
        <f t="shared" si="10"/>
        <v>0</v>
      </c>
      <c r="F27" s="62">
        <f t="shared" si="10"/>
        <v>0</v>
      </c>
      <c r="G27" s="62">
        <f t="shared" si="10"/>
        <v>0</v>
      </c>
      <c r="H27" s="62">
        <f t="shared" si="10"/>
        <v>0</v>
      </c>
      <c r="I27" s="62">
        <f t="shared" si="10"/>
        <v>0</v>
      </c>
      <c r="J27" s="62">
        <f t="shared" si="10"/>
        <v>0</v>
      </c>
      <c r="K27" s="62">
        <f t="shared" si="10"/>
        <v>0</v>
      </c>
      <c r="L27" s="62">
        <f t="shared" si="10"/>
        <v>0</v>
      </c>
      <c r="M27" s="83">
        <f t="shared" si="6"/>
        <v>0</v>
      </c>
    </row>
    <row r="28" spans="2:13">
      <c r="B28" s="60" t="s">
        <v>129</v>
      </c>
      <c r="C28" s="62">
        <f t="shared" ref="C28:L28" si="11">C$21*C14</f>
        <v>0</v>
      </c>
      <c r="D28" s="62">
        <f t="shared" si="11"/>
        <v>0</v>
      </c>
      <c r="E28" s="62">
        <f t="shared" si="11"/>
        <v>0</v>
      </c>
      <c r="F28" s="62">
        <f t="shared" si="11"/>
        <v>0</v>
      </c>
      <c r="G28" s="62">
        <f t="shared" si="11"/>
        <v>0</v>
      </c>
      <c r="H28" s="62">
        <f t="shared" si="11"/>
        <v>0</v>
      </c>
      <c r="I28" s="62">
        <f t="shared" si="11"/>
        <v>0</v>
      </c>
      <c r="J28" s="62">
        <f t="shared" si="11"/>
        <v>0</v>
      </c>
      <c r="K28" s="62">
        <f t="shared" si="11"/>
        <v>0</v>
      </c>
      <c r="L28" s="62">
        <f t="shared" si="11"/>
        <v>0</v>
      </c>
      <c r="M28" s="83">
        <f t="shared" si="6"/>
        <v>0</v>
      </c>
    </row>
    <row r="29" spans="2:13">
      <c r="B29" s="60" t="s">
        <v>130</v>
      </c>
      <c r="C29" s="62">
        <f t="shared" ref="C29:L29" si="12">C$21*C15</f>
        <v>0</v>
      </c>
      <c r="D29" s="62">
        <f t="shared" si="12"/>
        <v>0</v>
      </c>
      <c r="E29" s="62">
        <f t="shared" si="12"/>
        <v>0</v>
      </c>
      <c r="F29" s="62">
        <f t="shared" si="12"/>
        <v>0</v>
      </c>
      <c r="G29" s="62">
        <f t="shared" si="12"/>
        <v>0</v>
      </c>
      <c r="H29" s="62">
        <f t="shared" si="12"/>
        <v>0</v>
      </c>
      <c r="I29" s="62">
        <f t="shared" si="12"/>
        <v>0</v>
      </c>
      <c r="J29" s="62">
        <f t="shared" si="12"/>
        <v>0</v>
      </c>
      <c r="K29" s="62">
        <f t="shared" si="12"/>
        <v>0</v>
      </c>
      <c r="L29" s="62">
        <f t="shared" si="12"/>
        <v>0</v>
      </c>
      <c r="M29" s="83">
        <f t="shared" si="6"/>
        <v>0</v>
      </c>
    </row>
    <row r="30" spans="2:13">
      <c r="B30" s="60" t="s">
        <v>131</v>
      </c>
      <c r="C30" s="62">
        <f t="shared" ref="C30:L30" si="13">C$21*C16</f>
        <v>0</v>
      </c>
      <c r="D30" s="62">
        <f t="shared" si="13"/>
        <v>0</v>
      </c>
      <c r="E30" s="62">
        <f t="shared" si="13"/>
        <v>0</v>
      </c>
      <c r="F30" s="62">
        <f t="shared" si="13"/>
        <v>0</v>
      </c>
      <c r="G30" s="62">
        <f t="shared" si="13"/>
        <v>0</v>
      </c>
      <c r="H30" s="62">
        <f t="shared" si="13"/>
        <v>0</v>
      </c>
      <c r="I30" s="62">
        <f t="shared" si="13"/>
        <v>0</v>
      </c>
      <c r="J30" s="62">
        <f t="shared" si="13"/>
        <v>0</v>
      </c>
      <c r="K30" s="62">
        <f t="shared" si="13"/>
        <v>0</v>
      </c>
      <c r="L30" s="62">
        <f t="shared" si="13"/>
        <v>0</v>
      </c>
      <c r="M30" s="83">
        <f t="shared" si="6"/>
        <v>0</v>
      </c>
    </row>
    <row r="31" spans="2:13">
      <c r="B31" s="60" t="s">
        <v>132</v>
      </c>
      <c r="C31" s="62">
        <f>SUM(C22:C30)</f>
        <v>0</v>
      </c>
      <c r="D31" s="62">
        <f t="shared" ref="D31:L31" si="14">SUM(D22:D30)</f>
        <v>0</v>
      </c>
      <c r="E31" s="62">
        <f t="shared" si="14"/>
        <v>0</v>
      </c>
      <c r="F31" s="62">
        <f t="shared" si="14"/>
        <v>0</v>
      </c>
      <c r="G31" s="62">
        <f t="shared" si="14"/>
        <v>0</v>
      </c>
      <c r="H31" s="62">
        <f t="shared" si="14"/>
        <v>0</v>
      </c>
      <c r="I31" s="62">
        <f t="shared" si="14"/>
        <v>0</v>
      </c>
      <c r="J31" s="62">
        <f t="shared" si="14"/>
        <v>0</v>
      </c>
      <c r="K31" s="62">
        <f t="shared" si="14"/>
        <v>0</v>
      </c>
      <c r="L31" s="62">
        <f t="shared" si="14"/>
        <v>0</v>
      </c>
      <c r="M31" s="83">
        <f>SUM(M22:M30)</f>
        <v>0</v>
      </c>
    </row>
    <row r="33" spans="15:19" ht="15">
      <c r="O33"/>
      <c r="P33"/>
      <c r="Q33"/>
      <c r="R33"/>
      <c r="S33"/>
    </row>
    <row r="34" spans="15:19" ht="15">
      <c r="O34"/>
      <c r="P34"/>
      <c r="Q34"/>
      <c r="R34"/>
      <c r="S34"/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D27"/>
  <sheetViews>
    <sheetView showGridLines="0" zoomScale="85" zoomScaleNormal="85" workbookViewId="0">
      <selection activeCell="D15" sqref="D15"/>
    </sheetView>
  </sheetViews>
  <sheetFormatPr defaultColWidth="10.85546875" defaultRowHeight="14.25"/>
  <cols>
    <col min="1" max="1" width="5.42578125" style="2" customWidth="1"/>
    <col min="2" max="2" width="53.7109375" style="2" customWidth="1"/>
    <col min="3" max="3" width="105.42578125" style="2" customWidth="1"/>
    <col min="4" max="4" width="53.7109375" style="2" customWidth="1"/>
    <col min="5" max="16384" width="10.85546875" style="2"/>
  </cols>
  <sheetData>
    <row r="3" spans="2:4" ht="26.25">
      <c r="C3" s="85" t="s">
        <v>134</v>
      </c>
    </row>
    <row r="7" spans="2:4">
      <c r="B7" s="159" t="s">
        <v>135</v>
      </c>
      <c r="C7" s="99" t="s">
        <v>136</v>
      </c>
      <c r="D7" s="160">
        <f>ROUND(Etapas!E35,0)</f>
        <v>0</v>
      </c>
    </row>
    <row r="8" spans="2:4" ht="20.100000000000001" customHeight="1">
      <c r="B8" s="102" t="s">
        <v>137</v>
      </c>
      <c r="C8" s="99" t="s">
        <v>138</v>
      </c>
      <c r="D8" s="161"/>
    </row>
    <row r="9" spans="2:4" ht="20.100000000000001" customHeight="1">
      <c r="B9" s="102" t="s">
        <v>139</v>
      </c>
      <c r="C9" s="99" t="s">
        <v>140</v>
      </c>
      <c r="D9" s="98"/>
    </row>
    <row r="10" spans="2:4" ht="33.6" customHeight="1">
      <c r="B10" s="102" t="s">
        <v>141</v>
      </c>
      <c r="C10" s="99" t="s">
        <v>142</v>
      </c>
      <c r="D10" s="98"/>
    </row>
    <row r="11" spans="2:4" ht="20.100000000000001" customHeight="1">
      <c r="B11" s="102" t="s">
        <v>143</v>
      </c>
      <c r="C11" s="99" t="s">
        <v>144</v>
      </c>
      <c r="D11" s="98"/>
    </row>
    <row r="12" spans="2:4" ht="20.100000000000001" customHeight="1">
      <c r="B12" s="102" t="s">
        <v>145</v>
      </c>
      <c r="C12" s="99" t="s">
        <v>146</v>
      </c>
      <c r="D12" s="98" t="s">
        <v>147</v>
      </c>
    </row>
    <row r="13" spans="2:4" ht="36" customHeight="1">
      <c r="B13" s="102" t="s">
        <v>148</v>
      </c>
      <c r="C13" s="99" t="s">
        <v>149</v>
      </c>
      <c r="D13" s="98"/>
    </row>
    <row r="14" spans="2:4" ht="36" customHeight="1">
      <c r="B14" s="102" t="s">
        <v>150</v>
      </c>
      <c r="C14" s="99" t="s">
        <v>151</v>
      </c>
      <c r="D14" s="98"/>
    </row>
    <row r="15" spans="2:4" ht="40.5" customHeight="1">
      <c r="B15" s="102" t="s">
        <v>152</v>
      </c>
      <c r="C15" s="99" t="s">
        <v>153</v>
      </c>
      <c r="D15" s="98"/>
    </row>
    <row r="16" spans="2:4" ht="39" customHeight="1">
      <c r="B16" s="102" t="s">
        <v>154</v>
      </c>
      <c r="C16" s="99" t="s">
        <v>155</v>
      </c>
      <c r="D16" s="98"/>
    </row>
    <row r="17" spans="2:3" ht="62.45" customHeight="1">
      <c r="B17" s="63"/>
      <c r="C17" s="63"/>
    </row>
    <row r="18" spans="2:3" ht="101.25" customHeight="1">
      <c r="B18" s="16" t="s">
        <v>156</v>
      </c>
    </row>
    <row r="19" spans="2:3" ht="20.45" customHeight="1">
      <c r="B19" s="16" t="s">
        <v>157</v>
      </c>
    </row>
    <row r="20" spans="2:3" ht="20.45" customHeight="1">
      <c r="B20" s="16" t="s">
        <v>158</v>
      </c>
    </row>
    <row r="21" spans="2:3" ht="20.45" customHeight="1">
      <c r="B21" s="63" t="s">
        <v>159</v>
      </c>
      <c r="C21" s="16" t="s">
        <v>160</v>
      </c>
    </row>
    <row r="22" spans="2:3" ht="20.45" customHeight="1">
      <c r="B22" s="63" t="s">
        <v>161</v>
      </c>
      <c r="C22" s="16" t="s">
        <v>162</v>
      </c>
    </row>
    <row r="23" spans="2:3" ht="20.45" customHeight="1">
      <c r="B23" s="63"/>
      <c r="C23" s="16" t="s">
        <v>163</v>
      </c>
    </row>
    <row r="24" spans="2:3" ht="20.45" customHeight="1">
      <c r="B24" s="63"/>
      <c r="C24" s="16" t="s">
        <v>164</v>
      </c>
    </row>
    <row r="25" spans="2:3" ht="20.45" customHeight="1">
      <c r="B25" s="63" t="s">
        <v>165</v>
      </c>
      <c r="C25" s="16" t="s">
        <v>166</v>
      </c>
    </row>
    <row r="26" spans="2:3" ht="20.45" customHeight="1"/>
    <row r="27" spans="2:3" ht="20.45" customHeight="1"/>
  </sheetData>
  <dataValidations count="1">
    <dataValidation type="list" allowBlank="1" showInputMessage="1" showErrorMessage="1" sqref="D15" xr:uid="{5A71BD32-90E8-4AD2-A362-7ECD88F8F8CB}">
      <formula1>"Muy baja,Baja,Media,Alta"</formula1>
    </dataValidation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6:I82"/>
  <sheetViews>
    <sheetView showGridLines="0" workbookViewId="0">
      <selection activeCell="B8" sqref="B8"/>
    </sheetView>
  </sheetViews>
  <sheetFormatPr defaultColWidth="10.85546875" defaultRowHeight="12.75"/>
  <cols>
    <col min="1" max="1" width="2.5703125" style="120" customWidth="1"/>
    <col min="2" max="2" width="22.140625" style="120" customWidth="1"/>
    <col min="3" max="3" width="59.7109375" style="120" customWidth="1"/>
    <col min="4" max="4" width="14" style="120" bestFit="1" customWidth="1"/>
    <col min="5" max="8" width="10.85546875" style="120"/>
    <col min="9" max="9" width="36.42578125" style="120" customWidth="1"/>
    <col min="10" max="16384" width="10.85546875" style="120"/>
  </cols>
  <sheetData>
    <row r="6" spans="2:9">
      <c r="B6" s="119"/>
    </row>
    <row r="7" spans="2:9">
      <c r="B7" s="79" t="s">
        <v>167</v>
      </c>
      <c r="C7" s="79" t="s">
        <v>168</v>
      </c>
      <c r="D7" s="79" t="s">
        <v>4</v>
      </c>
    </row>
    <row r="8" spans="2:9">
      <c r="B8" s="121" t="s">
        <v>169</v>
      </c>
      <c r="C8" s="121" t="s">
        <v>170</v>
      </c>
      <c r="D8" s="154">
        <v>41654</v>
      </c>
    </row>
    <row r="9" spans="2:9">
      <c r="B9" s="121" t="s">
        <v>5</v>
      </c>
      <c r="C9" s="121" t="s">
        <v>171</v>
      </c>
      <c r="D9" s="154">
        <v>42353</v>
      </c>
    </row>
    <row r="10" spans="2:9">
      <c r="B10" s="121" t="s">
        <v>172</v>
      </c>
      <c r="C10" s="121" t="s">
        <v>173</v>
      </c>
      <c r="D10" s="155">
        <v>43686</v>
      </c>
    </row>
    <row r="11" spans="2:9">
      <c r="B11" s="121" t="s">
        <v>174</v>
      </c>
      <c r="C11" s="121" t="s">
        <v>175</v>
      </c>
      <c r="D11" s="154">
        <v>44651</v>
      </c>
    </row>
    <row r="12" spans="2:9">
      <c r="B12" s="121" t="s">
        <v>176</v>
      </c>
      <c r="C12" s="121" t="s">
        <v>177</v>
      </c>
      <c r="D12" s="154">
        <v>45187</v>
      </c>
    </row>
    <row r="13" spans="2:9">
      <c r="B13" s="122"/>
      <c r="C13" s="121"/>
      <c r="D13" s="121"/>
    </row>
    <row r="14" spans="2:9">
      <c r="B14" s="123"/>
    </row>
    <row r="15" spans="2:9">
      <c r="B15" s="124"/>
    </row>
    <row r="16" spans="2:9">
      <c r="B16" s="125" t="s">
        <v>178</v>
      </c>
      <c r="C16" s="126"/>
      <c r="D16" s="126"/>
      <c r="E16" s="126"/>
      <c r="F16" s="126"/>
      <c r="G16" s="126"/>
      <c r="H16" s="126"/>
      <c r="I16" s="127"/>
    </row>
    <row r="17" spans="2:9">
      <c r="B17" s="128" t="s">
        <v>179</v>
      </c>
      <c r="C17" s="129"/>
      <c r="D17" s="129"/>
      <c r="I17" s="130"/>
    </row>
    <row r="18" spans="2:9">
      <c r="B18" s="131" t="s">
        <v>180</v>
      </c>
      <c r="I18" s="130"/>
    </row>
    <row r="19" spans="2:9">
      <c r="B19" s="131" t="s">
        <v>181</v>
      </c>
      <c r="I19" s="130"/>
    </row>
    <row r="20" spans="2:9">
      <c r="B20" s="131" t="s">
        <v>182</v>
      </c>
      <c r="I20" s="130"/>
    </row>
    <row r="21" spans="2:9">
      <c r="B21" s="131" t="s">
        <v>183</v>
      </c>
      <c r="I21" s="130"/>
    </row>
    <row r="22" spans="2:9">
      <c r="B22" s="131" t="s">
        <v>184</v>
      </c>
      <c r="I22" s="130"/>
    </row>
    <row r="23" spans="2:9">
      <c r="B23" s="131" t="s">
        <v>185</v>
      </c>
      <c r="I23" s="130"/>
    </row>
    <row r="24" spans="2:9">
      <c r="B24" s="131" t="s">
        <v>186</v>
      </c>
      <c r="I24" s="130"/>
    </row>
    <row r="25" spans="2:9">
      <c r="B25" s="131"/>
      <c r="I25" s="130"/>
    </row>
    <row r="26" spans="2:9">
      <c r="B26" s="132" t="s">
        <v>187</v>
      </c>
      <c r="I26" s="130"/>
    </row>
    <row r="27" spans="2:9">
      <c r="B27" s="131" t="s">
        <v>188</v>
      </c>
      <c r="I27" s="130"/>
    </row>
    <row r="28" spans="2:9">
      <c r="B28" s="131" t="s">
        <v>189</v>
      </c>
      <c r="I28" s="130"/>
    </row>
    <row r="29" spans="2:9">
      <c r="B29" s="131" t="s">
        <v>190</v>
      </c>
      <c r="I29" s="130"/>
    </row>
    <row r="30" spans="2:9">
      <c r="B30" s="132"/>
      <c r="I30" s="130"/>
    </row>
    <row r="31" spans="2:9">
      <c r="B31" s="132" t="s">
        <v>191</v>
      </c>
      <c r="I31" s="130"/>
    </row>
    <row r="32" spans="2:9">
      <c r="B32" s="131" t="s">
        <v>192</v>
      </c>
      <c r="I32" s="130"/>
    </row>
    <row r="33" spans="2:9">
      <c r="B33" s="131" t="s">
        <v>193</v>
      </c>
      <c r="I33" s="130"/>
    </row>
    <row r="34" spans="2:9">
      <c r="B34" s="131" t="s">
        <v>194</v>
      </c>
      <c r="I34" s="130"/>
    </row>
    <row r="35" spans="2:9">
      <c r="B35" s="131" t="s">
        <v>195</v>
      </c>
      <c r="I35" s="130"/>
    </row>
    <row r="36" spans="2:9">
      <c r="B36" s="131" t="s">
        <v>196</v>
      </c>
      <c r="I36" s="130"/>
    </row>
    <row r="37" spans="2:9">
      <c r="B37" s="131" t="s">
        <v>197</v>
      </c>
      <c r="I37" s="130"/>
    </row>
    <row r="38" spans="2:9">
      <c r="B38" s="131"/>
      <c r="I38" s="130"/>
    </row>
    <row r="39" spans="2:9">
      <c r="B39" s="132" t="s">
        <v>198</v>
      </c>
      <c r="I39" s="130"/>
    </row>
    <row r="40" spans="2:9">
      <c r="B40" s="131" t="s">
        <v>199</v>
      </c>
      <c r="I40" s="130"/>
    </row>
    <row r="41" spans="2:9">
      <c r="B41" s="131" t="s">
        <v>200</v>
      </c>
      <c r="I41" s="130"/>
    </row>
    <row r="42" spans="2:9">
      <c r="B42" s="131" t="s">
        <v>201</v>
      </c>
      <c r="I42" s="130"/>
    </row>
    <row r="43" spans="2:9">
      <c r="B43" s="131"/>
      <c r="I43" s="130"/>
    </row>
    <row r="44" spans="2:9">
      <c r="B44" s="132" t="s">
        <v>202</v>
      </c>
      <c r="I44" s="130"/>
    </row>
    <row r="45" spans="2:9">
      <c r="B45" s="131" t="s">
        <v>203</v>
      </c>
      <c r="D45" s="119"/>
      <c r="I45" s="130"/>
    </row>
    <row r="46" spans="2:9">
      <c r="B46" s="131" t="s">
        <v>204</v>
      </c>
      <c r="I46" s="130"/>
    </row>
    <row r="47" spans="2:9">
      <c r="B47" s="131"/>
      <c r="I47" s="130"/>
    </row>
    <row r="48" spans="2:9">
      <c r="B48" s="132" t="s">
        <v>205</v>
      </c>
      <c r="I48" s="130"/>
    </row>
    <row r="49" spans="2:9">
      <c r="B49" s="131" t="s">
        <v>206</v>
      </c>
      <c r="I49" s="130"/>
    </row>
    <row r="50" spans="2:9">
      <c r="B50" s="131"/>
      <c r="I50" s="130"/>
    </row>
    <row r="51" spans="2:9">
      <c r="B51" s="132" t="s">
        <v>207</v>
      </c>
      <c r="I51" s="130"/>
    </row>
    <row r="52" spans="2:9">
      <c r="B52" s="131" t="s">
        <v>208</v>
      </c>
      <c r="I52" s="130"/>
    </row>
    <row r="53" spans="2:9">
      <c r="B53" s="131" t="s">
        <v>209</v>
      </c>
      <c r="I53" s="130"/>
    </row>
    <row r="54" spans="2:9">
      <c r="B54" s="133" t="s">
        <v>210</v>
      </c>
      <c r="C54" s="134"/>
      <c r="D54" s="134"/>
      <c r="E54" s="134"/>
      <c r="F54" s="134"/>
      <c r="G54" s="134"/>
      <c r="H54" s="134"/>
      <c r="I54" s="135"/>
    </row>
    <row r="55" spans="2:9">
      <c r="B55" s="136"/>
    </row>
    <row r="56" spans="2:9">
      <c r="B56" s="136"/>
    </row>
    <row r="57" spans="2:9">
      <c r="B57" s="136"/>
    </row>
    <row r="58" spans="2:9">
      <c r="B58" s="136"/>
    </row>
    <row r="59" spans="2:9">
      <c r="B59" s="136"/>
    </row>
    <row r="60" spans="2:9">
      <c r="B60" s="136"/>
    </row>
    <row r="61" spans="2:9">
      <c r="B61" s="136"/>
    </row>
    <row r="62" spans="2:9">
      <c r="B62" s="136"/>
    </row>
    <row r="63" spans="2:9">
      <c r="B63" s="136"/>
    </row>
    <row r="64" spans="2:9">
      <c r="B64" s="136"/>
    </row>
    <row r="65" spans="2:2">
      <c r="B65" s="136"/>
    </row>
    <row r="66" spans="2:2">
      <c r="B66" s="136"/>
    </row>
    <row r="67" spans="2:2">
      <c r="B67" s="136"/>
    </row>
    <row r="68" spans="2:2">
      <c r="B68" s="136"/>
    </row>
    <row r="69" spans="2:2">
      <c r="B69" s="136"/>
    </row>
    <row r="70" spans="2:2">
      <c r="B70" s="136"/>
    </row>
    <row r="71" spans="2:2">
      <c r="B71" s="136"/>
    </row>
    <row r="72" spans="2:2">
      <c r="B72" s="136"/>
    </row>
    <row r="73" spans="2:2">
      <c r="B73" s="136"/>
    </row>
    <row r="74" spans="2:2">
      <c r="B74" s="136"/>
    </row>
    <row r="75" spans="2:2">
      <c r="B75" s="136"/>
    </row>
    <row r="76" spans="2:2">
      <c r="B76" s="136"/>
    </row>
    <row r="77" spans="2:2">
      <c r="B77" s="136"/>
    </row>
    <row r="78" spans="2:2">
      <c r="B78" s="136"/>
    </row>
    <row r="79" spans="2:2">
      <c r="B79" s="136"/>
    </row>
    <row r="80" spans="2:2">
      <c r="B80" s="136"/>
    </row>
    <row r="81" spans="2:2">
      <c r="B81" s="136"/>
    </row>
    <row r="82" spans="2:2">
      <c r="B82" s="136"/>
    </row>
  </sheetData>
  <sheetProtection sheet="1" objects="1" scenarios="1"/>
  <pageMargins left="0.7" right="0.7" top="0.75" bottom="0.75" header="0.3" footer="0.3"/>
  <pageSetup paperSize="9"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F88FDB34F734E8CE3735F0934EC94" ma:contentTypeVersion="19" ma:contentTypeDescription="Crear nuevo documento." ma:contentTypeScope="" ma:versionID="cf1da60cd7c5e9dc3a2ac56d418fdac3">
  <xsd:schema xmlns:xsd="http://www.w3.org/2001/XMLSchema" xmlns:xs="http://www.w3.org/2001/XMLSchema" xmlns:p="http://schemas.microsoft.com/office/2006/metadata/properties" xmlns:ns2="9ea90241-f44b-4fa5-bda2-dd74206fe69a" xmlns:ns3="950e0168-5d46-4d7d-8a73-9a832b308c1e" targetNamespace="http://schemas.microsoft.com/office/2006/metadata/properties" ma:root="true" ma:fieldsID="3dd54feffa023d202a31234539e9c775" ns2:_="" ns3:_="">
    <xsd:import namespace="9ea90241-f44b-4fa5-bda2-dd74206fe69a"/>
    <xsd:import namespace="950e0168-5d46-4d7d-8a73-9a832b308c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Contenido" minOccurs="0"/>
                <xsd:element ref="ns2:MediaServiceObjectDetectorVersions" minOccurs="0"/>
                <xsd:element ref="ns2:Progresi_x00f3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a90241-f44b-4fa5-bda2-dd74206fe6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ece1a9e-e829-42a2-80ca-4303f8678d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Contenido" ma:index="24" nillable="true" ma:displayName="Contenido" ma:description="Descripción breve contenido del vídeo" ma:format="Dropdown" ma:internalName="Contenido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gresi_x00f3_n" ma:index="26" nillable="true" ma:displayName="Progresión" ma:description="Progresión del documento en porcentaje." ma:format="Dropdown" ma:internalName="Progresi_x00f3_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0e0168-5d46-4d7d-8a73-9a832b308c1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9aadbba-c5ed-49e8-9d98-7b27dd38b52c}" ma:internalName="TaxCatchAll" ma:showField="CatchAllData" ma:web="950e0168-5d46-4d7d-8a73-9a832b308c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a90241-f44b-4fa5-bda2-dd74206fe69a">
      <Terms xmlns="http://schemas.microsoft.com/office/infopath/2007/PartnerControls"/>
    </lcf76f155ced4ddcb4097134ff3c332f>
    <TaxCatchAll xmlns="950e0168-5d46-4d7d-8a73-9a832b308c1e" xsi:nil="true"/>
    <Contenido xmlns="9ea90241-f44b-4fa5-bda2-dd74206fe69a" xsi:nil="true"/>
    <Progresi_x00f3_n xmlns="9ea90241-f44b-4fa5-bda2-dd74206fe69a" xsi:nil="true"/>
  </documentManagement>
</p:properties>
</file>

<file path=customXml/itemProps1.xml><?xml version="1.0" encoding="utf-8"?>
<ds:datastoreItem xmlns:ds="http://schemas.openxmlformats.org/officeDocument/2006/customXml" ds:itemID="{2AB4C88A-487D-468E-9E5D-A2CC70BE2C35}"/>
</file>

<file path=customXml/itemProps2.xml><?xml version="1.0" encoding="utf-8"?>
<ds:datastoreItem xmlns:ds="http://schemas.openxmlformats.org/officeDocument/2006/customXml" ds:itemID="{BD3361FD-29AC-4B73-9F63-274F51284234}"/>
</file>

<file path=customXml/itemProps3.xml><?xml version="1.0" encoding="utf-8"?>
<ds:datastoreItem xmlns:ds="http://schemas.openxmlformats.org/officeDocument/2006/customXml" ds:itemID="{F55BD582-0BE6-47D6-B829-2CD2564C24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Estimaciones</dc:title>
  <dc:subject/>
  <dc:creator>Ubaldo Serna Perez</dc:creator>
  <cp:keywords/>
  <dc:description/>
  <cp:lastModifiedBy/>
  <cp:revision/>
  <dcterms:created xsi:type="dcterms:W3CDTF">2013-09-24T11:23:53Z</dcterms:created>
  <dcterms:modified xsi:type="dcterms:W3CDTF">2023-10-10T15:18:51Z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0x010100679F88FDB34F734E8CE3735F0934EC94</vt:lpwstr>
  </property>
  <property fmtid="{D5CDD505-2E9C-101B-9397-08002B2CF9AE}" pid="3" name="TaxKeyword">
    <vt:lpwstr/>
  </property>
  <property fmtid="{D5CDD505-2E9C-101B-9397-08002B2CF9AE}" pid="4" name="MSIP_Label_6c04a875-6eb2-484b-a14b-e2519851b720_Enabled">
    <vt:lpwstr>true</vt:lpwstr>
  </property>
  <property fmtid="{D5CDD505-2E9C-101B-9397-08002B2CF9AE}" pid="5" name="MSIP_Label_6c04a875-6eb2-484b-a14b-e2519851b720_SetDate">
    <vt:lpwstr>2022-03-30T06:18:31Z</vt:lpwstr>
  </property>
  <property fmtid="{D5CDD505-2E9C-101B-9397-08002B2CF9AE}" pid="6" name="MSIP_Label_6c04a875-6eb2-484b-a14b-e2519851b720_Method">
    <vt:lpwstr>Standard</vt:lpwstr>
  </property>
  <property fmtid="{D5CDD505-2E9C-101B-9397-08002B2CF9AE}" pid="7" name="MSIP_Label_6c04a875-6eb2-484b-a14b-e2519851b720_Name">
    <vt:lpwstr>External</vt:lpwstr>
  </property>
  <property fmtid="{D5CDD505-2E9C-101B-9397-08002B2CF9AE}" pid="8" name="MSIP_Label_6c04a875-6eb2-484b-a14b-e2519851b720_SiteId">
    <vt:lpwstr>14cb4ab4-62b8-45a2-a944-e225383ee1f9</vt:lpwstr>
  </property>
  <property fmtid="{D5CDD505-2E9C-101B-9397-08002B2CF9AE}" pid="9" name="MSIP_Label_6c04a875-6eb2-484b-a14b-e2519851b720_ActionId">
    <vt:lpwstr>a9d7219f-8239-493b-82fa-c3ef828c7d0f</vt:lpwstr>
  </property>
  <property fmtid="{D5CDD505-2E9C-101B-9397-08002B2CF9AE}" pid="10" name="MSIP_Label_6c04a875-6eb2-484b-a14b-e2519851b720_ContentBits">
    <vt:lpwstr>0</vt:lpwstr>
  </property>
  <property fmtid="{D5CDD505-2E9C-101B-9397-08002B2CF9AE}" pid="11" name="MediaServiceImageTags">
    <vt:lpwstr/>
  </property>
</Properties>
</file>